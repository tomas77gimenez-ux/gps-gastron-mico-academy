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gimeto/Desktop/"/>
    </mc:Choice>
  </mc:AlternateContent>
  <xr:revisionPtr revIDLastSave="0" documentId="13_ncr:1_{B471CA96-2D42-F143-8777-1307654A6E53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Organigrama Cocina" sheetId="1" r:id="rId1"/>
    <sheet name="Dotación" sheetId="2" r:id="rId2"/>
    <sheet name="Producción" sheetId="3" r:id="rId3"/>
    <sheet name="Instructivo" sheetId="4" r:id="rId4"/>
  </sheets>
  <definedNames>
    <definedName name="_xlnm.Print_Area" localSheetId="0">'Organigrama Cocina'!$A$1:$X$51</definedName>
    <definedName name="_xlnm.Print_Titles" localSheetId="0">'Organigrama Cocina'!$11:$12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F18" i="3"/>
  <c r="H18" i="3" s="1"/>
  <c r="F17" i="3"/>
  <c r="H17" i="3" s="1"/>
  <c r="F16" i="3"/>
  <c r="H16" i="3" s="1"/>
  <c r="F15" i="3"/>
  <c r="H15" i="3" s="1"/>
  <c r="F14" i="3"/>
  <c r="H14" i="3" s="1"/>
  <c r="F13" i="3"/>
  <c r="H13" i="3" s="1"/>
  <c r="F12" i="3"/>
  <c r="H12" i="3" s="1"/>
  <c r="F11" i="3"/>
  <c r="H11" i="3" s="1"/>
  <c r="F10" i="3"/>
  <c r="H10" i="3" s="1"/>
  <c r="F9" i="3"/>
  <c r="H9" i="3" s="1"/>
  <c r="F8" i="3"/>
  <c r="H8" i="3" s="1"/>
  <c r="F7" i="3"/>
  <c r="H7" i="3" s="1"/>
  <c r="F6" i="3"/>
  <c r="H6" i="3" s="1"/>
  <c r="F5" i="3"/>
  <c r="H5" i="3" s="1"/>
  <c r="E44" i="2"/>
  <c r="E43" i="2"/>
  <c r="E42" i="2"/>
  <c r="E41" i="2"/>
  <c r="E40" i="2"/>
  <c r="E39" i="2"/>
  <c r="E38" i="2"/>
  <c r="E34" i="2"/>
  <c r="E33" i="2"/>
  <c r="E32" i="2"/>
  <c r="E31" i="2"/>
  <c r="E30" i="2"/>
  <c r="E29" i="2"/>
  <c r="E28" i="2"/>
  <c r="E24" i="2"/>
  <c r="E23" i="2"/>
  <c r="E22" i="2"/>
  <c r="E21" i="2"/>
  <c r="E20" i="2"/>
  <c r="E19" i="2"/>
  <c r="E18" i="2"/>
  <c r="E14" i="2"/>
  <c r="E13" i="2"/>
  <c r="E12" i="2"/>
  <c r="E11" i="2"/>
  <c r="E10" i="2"/>
  <c r="E9" i="2"/>
  <c r="E8" i="2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X45" i="1"/>
  <c r="X44" i="1"/>
  <c r="X43" i="1"/>
  <c r="X42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X37" i="1"/>
  <c r="X36" i="1"/>
  <c r="X35" i="1"/>
  <c r="X34" i="1"/>
  <c r="X33" i="1"/>
  <c r="X32" i="1"/>
  <c r="X38" i="1" s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X27" i="1"/>
  <c r="X26" i="1"/>
  <c r="X25" i="1"/>
  <c r="X24" i="1"/>
  <c r="X23" i="1"/>
  <c r="X22" i="1"/>
  <c r="X28" i="1" s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X17" i="1"/>
  <c r="X16" i="1"/>
  <c r="X15" i="1"/>
  <c r="X14" i="1"/>
  <c r="X18" i="1" s="1"/>
  <c r="G9" i="1"/>
  <c r="G8" i="1"/>
  <c r="G7" i="1"/>
  <c r="H19" i="3" l="1"/>
  <c r="X49" i="1"/>
</calcChain>
</file>

<file path=xl/sharedStrings.xml><?xml version="1.0" encoding="utf-8"?>
<sst xmlns="http://schemas.openxmlformats.org/spreadsheetml/2006/main" count="137" uniqueCount="65">
  <si>
    <t>Restaurante:</t>
  </si>
  <si>
    <t>Semana del:</t>
  </si>
  <si>
    <t>DEFINICIÓN DE TURNOS (horario de entrada y salida)</t>
  </si>
  <si>
    <t>TURNO</t>
  </si>
  <si>
    <t>NOMBRE</t>
  </si>
  <si>
    <t>ENTRADA</t>
  </si>
  <si>
    <t>SALIDA</t>
  </si>
  <si>
    <t>HORAS</t>
  </si>
  <si>
    <t>T1</t>
  </si>
  <si>
    <t>Producción / Mañana</t>
  </si>
  <si>
    <t>T2</t>
  </si>
  <si>
    <t>Mediodía</t>
  </si>
  <si>
    <t>T3</t>
  </si>
  <si>
    <t>Noche</t>
  </si>
  <si>
    <t>EMPLEADO</t>
  </si>
  <si>
    <t>NOTA</t>
  </si>
  <si>
    <t>LUNES</t>
  </si>
  <si>
    <t>MARTES</t>
  </si>
  <si>
    <t>MIÉRCOLES</t>
  </si>
  <si>
    <t>JUEVES</t>
  </si>
  <si>
    <t>VIERNES</t>
  </si>
  <si>
    <t>SÁBADO</t>
  </si>
  <si>
    <t>DOMINGO</t>
  </si>
  <si>
    <t>TOTAL HORAS</t>
  </si>
  <si>
    <t>BACHEROS / DISHWASHER</t>
  </si>
  <si>
    <t>Asignados</t>
  </si>
  <si>
    <t>Necesarios</t>
  </si>
  <si>
    <t>AYUDANTES</t>
  </si>
  <si>
    <t>COCINEROS</t>
  </si>
  <si>
    <t>EXPO</t>
  </si>
  <si>
    <t>TOTAL HORAS COCINA (semana):</t>
  </si>
  <si>
    <t>En cada celda escriba las HORAS que trabaja el empleado en ese turno. TOTAL HORAS las suma por persona y por rol. Asignados cuenta el personal del rol por turno; Necesarios viene de la hoja “Dotación”. Verde = cubierto · Rojo = falta personal.</t>
  </si>
  <si>
    <t>GPS GASTRONÓMICO</t>
  </si>
  <si>
    <t>Dotación de cocina — personal necesario por rol, día y turno</t>
  </si>
  <si>
    <t>Cargue, según la importancia de cada día y turno, cuántas personas necesita de cada rol (ej.: viernes y sábados, más dotación). Estos números alimentan el control del organigrama.</t>
  </si>
  <si>
    <t>DÍA</t>
  </si>
  <si>
    <t>TOTAL DÍA</t>
  </si>
  <si>
    <t>Lunes</t>
  </si>
  <si>
    <t>Martes</t>
  </si>
  <si>
    <t>Miércoles</t>
  </si>
  <si>
    <t>Jueves</t>
  </si>
  <si>
    <t>Viernes</t>
  </si>
  <si>
    <t>Sábado</t>
  </si>
  <si>
    <t>Domingo</t>
  </si>
  <si>
    <t>GPS GASTRONÓMICO — Personal de Producción</t>
  </si>
  <si>
    <t>Días, roles, horarios y cantidad de empleados de producción (mise en place / preelaborados).</t>
  </si>
  <si>
    <t>ROL</t>
  </si>
  <si>
    <t>TAREA / ÁREA</t>
  </si>
  <si>
    <t>DESDE</t>
  </si>
  <si>
    <t>HASTA</t>
  </si>
  <si>
    <t>EMPLEADOS</t>
  </si>
  <si>
    <t>HORAS-HOMBRE</t>
  </si>
  <si>
    <t>NOMBRES / NOTAS</t>
  </si>
  <si>
    <t>TOTALES</t>
  </si>
  <si>
    <t>CÓMO USAR EL ORGANIGRAMA DE COCINA</t>
  </si>
  <si>
    <t>1. En "Organigrama Cocina", DEFINICIÓN DE TURNOS: ajuste nombre y horario de cada turno (T1, T2, T3).</t>
  </si>
  <si>
    <t>2. En "Dotación": para cada rol (bacheros, ayudantes, cocineros, expo) cargue cuántas personas necesita por día y turno, según la importancia (viernes/sábados suelen requerir más).</t>
  </si>
  <si>
    <t>3. En "Organigrama Cocina": dentro de cada rol, escriba los nombres de los empleados.</t>
  </si>
  <si>
    <t>4. En cada cruce empleado / día / turno, escriba las HORAS que trabaja en ese turno.</t>
  </si>
  <si>
    <t>5. TOTAL HORAS suma por empleado y por rol; abajo, el total de horas de cocina de la semana.</t>
  </si>
  <si>
    <t>6. Asignados cuenta el personal de cada rol por turno y Necesarios lo compara con la Dotación: ROJO = falta, VERDE = cubierto.</t>
  </si>
  <si>
    <t>7. En la hoja "Producción": cargue día, tarea/área, horario y cantidad de empleados; calcula horas y horas-hombre.</t>
  </si>
  <si>
    <t>8. Imprima "Organigrama Cocina" y "Producción" (horizontal) para pegarlas en la cocina.</t>
  </si>
  <si>
    <t>Celdas crema = se completan a mano. Celdas grises = se calculan solas.</t>
  </si>
  <si>
    <t>ORGANIGRAMA COCINA.     GPS GASTRONOMICO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</si>
</sst>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0.0"/>
  </numFmts>
  <fonts count="34" x14ac:knownFonts="1">
    <font>
      <sz val="11"/>
      <color theme="1"/>
      <name val="Calibri"/>
      <family val="2"/>
      <scheme val="minor"/>
    </font>
    <font>
      <sz val="10"/>
      <color rgb="FF1A1A1A"/>
      <name val="Arial"/>
      <family val="2"/>
    </font>
    <font>
      <b/>
      <sz val="12"/>
      <color rgb="FF0A2540"/>
      <name val="Arial"/>
      <family val="2"/>
    </font>
    <font>
      <b/>
      <sz val="12"/>
      <color rgb="FFFFFFFF"/>
      <name val="Arial"/>
      <family val="2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Arial"/>
      <family val="2"/>
    </font>
    <font>
      <b/>
      <sz val="14"/>
      <color rgb="FF0A2540"/>
      <name val="Arial"/>
      <family val="2"/>
    </font>
    <font>
      <sz val="14"/>
      <color theme="1"/>
      <name val="Calibri"/>
      <family val="2"/>
      <scheme val="minor"/>
    </font>
    <font>
      <b/>
      <sz val="14"/>
      <color rgb="FF1A1A1A"/>
      <name val="Arial"/>
      <family val="2"/>
    </font>
    <font>
      <sz val="14"/>
      <color rgb="FF1A1A1A"/>
      <name val="Arial"/>
      <family val="2"/>
    </font>
    <font>
      <b/>
      <sz val="14"/>
      <color rgb="FF0F8B8D"/>
      <name val="Arial"/>
      <family val="2"/>
    </font>
    <font>
      <i/>
      <sz val="12"/>
      <color rgb="FFFF0000"/>
      <name val="Arial"/>
      <family val="2"/>
    </font>
    <font>
      <b/>
      <sz val="12"/>
      <color rgb="FF1A1A1A"/>
      <name val="Arial"/>
      <family val="2"/>
    </font>
    <font>
      <sz val="12"/>
      <color rgb="FF1A1A1A"/>
      <name val="Arial"/>
      <family val="2"/>
    </font>
    <font>
      <b/>
      <sz val="14"/>
      <color rgb="FFFFFFFF"/>
      <name val="Arial"/>
      <family val="2"/>
    </font>
    <font>
      <b/>
      <sz val="20"/>
      <color theme="0"/>
      <name val="Arial"/>
      <family val="2"/>
    </font>
    <font>
      <sz val="20"/>
      <color theme="0"/>
      <name val="Calibri"/>
      <family val="2"/>
      <scheme val="minor"/>
    </font>
    <font>
      <i/>
      <sz val="14"/>
      <color rgb="FFFF0000"/>
      <name val="Arial"/>
      <family val="2"/>
    </font>
    <font>
      <sz val="14"/>
      <color rgb="FFFF0000"/>
      <name val="Calibri"/>
      <family val="2"/>
      <scheme val="minor"/>
    </font>
    <font>
      <sz val="14"/>
      <color rgb="FF0A2540"/>
      <name val="Arial"/>
      <family val="2"/>
    </font>
    <font>
      <b/>
      <sz val="20"/>
      <color theme="0" tint="-4.9989318521683403E-2"/>
      <name val="Arial"/>
      <family val="2"/>
    </font>
    <font>
      <sz val="20"/>
      <color theme="0" tint="-4.9989318521683403E-2"/>
      <name val="Calibri"/>
      <family val="2"/>
      <scheme val="minor"/>
    </font>
    <font>
      <b/>
      <sz val="14"/>
      <color theme="3"/>
      <name val="Arial"/>
      <family val="2"/>
    </font>
    <font>
      <sz val="14"/>
      <color theme="3"/>
      <name val="Calibri"/>
      <family val="2"/>
      <scheme val="minor"/>
    </font>
    <font>
      <b/>
      <sz val="14"/>
      <color rgb="FFFF0000"/>
      <name val="Arial"/>
      <family val="2"/>
    </font>
    <font>
      <b/>
      <sz val="24"/>
      <color theme="0"/>
      <name val="Arial"/>
      <family val="2"/>
    </font>
    <font>
      <sz val="24"/>
      <color theme="0"/>
      <name val="Calibri"/>
      <family val="2"/>
      <scheme val="minor"/>
    </font>
    <font>
      <b/>
      <sz val="16"/>
      <color rgb="FF0A2540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6"/>
      <color rgb="FF1A1A1A"/>
      <name val="Arial"/>
      <family val="2"/>
    </font>
    <font>
      <sz val="16"/>
      <color rgb="FF1A1A1A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8E1"/>
      </patternFill>
    </fill>
    <fill>
      <patternFill patternType="solid">
        <fgColor rgb="FF0A2540"/>
      </patternFill>
    </fill>
    <fill>
      <patternFill patternType="solid">
        <fgColor rgb="FF5A6B7B"/>
      </patternFill>
    </fill>
    <fill>
      <patternFill patternType="solid">
        <fgColor rgb="FFEAF2F2"/>
      </patternFill>
    </fill>
    <fill>
      <patternFill patternType="solid">
        <fgColor rgb="FFD9DDE1"/>
      </patternFill>
    </fill>
    <fill>
      <patternFill patternType="solid">
        <fgColor rgb="FF0F8B8D"/>
      </patternFill>
    </fill>
    <fill>
      <patternFill patternType="solid">
        <fgColor rgb="FF0C6E70"/>
      </patternFill>
    </fill>
    <fill>
      <patternFill patternType="solid">
        <fgColor rgb="FF09595B"/>
      </patternFill>
    </fill>
    <fill>
      <patternFill patternType="solid">
        <fgColor rgb="FF12304A"/>
      </patternFill>
    </fill>
    <fill>
      <patternFill patternType="solid">
        <fgColor rgb="FFC9A227"/>
      </patternFill>
    </fill>
    <fill>
      <patternFill patternType="solid">
        <fgColor rgb="FFFFFFFF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9FB3BD"/>
      </left>
      <right style="thin">
        <color rgb="FF9FB3BD"/>
      </right>
      <top style="thin">
        <color rgb="FF9FB3BD"/>
      </top>
      <bottom style="thin">
        <color rgb="FF9FB3BD"/>
      </bottom>
      <diagonal/>
    </border>
    <border>
      <left/>
      <right style="thin">
        <color rgb="FF9FB3BD"/>
      </right>
      <top style="thin">
        <color rgb="FF9FB3BD"/>
      </top>
      <bottom style="thin">
        <color rgb="FF9FB3BD"/>
      </bottom>
      <diagonal/>
    </border>
    <border>
      <left style="medium">
        <color indexed="64"/>
      </left>
      <right style="thin">
        <color rgb="FF9FB3BD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9FB3BD"/>
      </left>
      <right style="thin">
        <color rgb="FF9FB3BD"/>
      </right>
      <top style="thin">
        <color rgb="FF9FB3BD"/>
      </top>
      <bottom/>
      <diagonal/>
    </border>
    <border>
      <left style="thin">
        <color rgb="FF9FB3BD"/>
      </left>
      <right style="thin">
        <color rgb="FF9FB3BD"/>
      </right>
      <top/>
      <bottom style="thin">
        <color rgb="FF9FB3BD"/>
      </bottom>
      <diagonal/>
    </border>
    <border>
      <left style="medium">
        <color indexed="64"/>
      </left>
      <right style="thin">
        <color rgb="FF9FB3BD"/>
      </right>
      <top style="medium">
        <color indexed="64"/>
      </top>
      <bottom/>
      <diagonal/>
    </border>
    <border>
      <left/>
      <right style="thin">
        <color rgb="FF9FB3BD"/>
      </right>
      <top style="thin">
        <color rgb="FF9FB3BD"/>
      </top>
      <bottom/>
      <diagonal/>
    </border>
    <border>
      <left style="medium">
        <color indexed="64"/>
      </left>
      <right style="thin">
        <color rgb="FF9FB3BD"/>
      </right>
      <top style="thin">
        <color rgb="FF9FB3BD"/>
      </top>
      <bottom style="thin">
        <color rgb="FF9FB3BD"/>
      </bottom>
      <diagonal/>
    </border>
    <border>
      <left style="medium">
        <color indexed="64"/>
      </left>
      <right style="thin">
        <color rgb="FF9FB3BD"/>
      </right>
      <top style="thin">
        <color rgb="FF9FB3BD"/>
      </top>
      <bottom style="medium">
        <color indexed="64"/>
      </bottom>
      <diagonal/>
    </border>
    <border>
      <left style="thin">
        <color rgb="FF9FB3BD"/>
      </left>
      <right style="thin">
        <color rgb="FF9FB3BD"/>
      </right>
      <top style="thin">
        <color rgb="FF9FB3BD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14" borderId="14" xfId="0" applyFill="1" applyBorder="1"/>
    <xf numFmtId="0" fontId="0" fillId="14" borderId="4" xfId="0" applyFill="1" applyBorder="1"/>
    <xf numFmtId="0" fontId="0" fillId="14" borderId="5" xfId="0" applyFill="1" applyBorder="1"/>
    <xf numFmtId="0" fontId="10" fillId="2" borderId="1" xfId="0" applyFont="1" applyFill="1" applyBorder="1" applyAlignment="1">
      <alignment horizontal="left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left" vertical="center"/>
    </xf>
    <xf numFmtId="165" fontId="2" fillId="11" borderId="18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0" fillId="15" borderId="0" xfId="0" applyFill="1"/>
    <xf numFmtId="0" fontId="10" fillId="2" borderId="1" xfId="0" applyFont="1" applyFill="1" applyBorder="1" applyAlignment="1">
      <alignment horizontal="center" vertical="center"/>
    </xf>
    <xf numFmtId="165" fontId="20" fillId="6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165" fontId="7" fillId="6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" fontId="7" fillId="6" borderId="2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16" borderId="0" xfId="0" applyFill="1"/>
    <xf numFmtId="0" fontId="0" fillId="16" borderId="9" xfId="0" applyFill="1" applyBorder="1"/>
    <xf numFmtId="0" fontId="0" fillId="16" borderId="10" xfId="0" applyFill="1" applyBorder="1"/>
    <xf numFmtId="0" fontId="0" fillId="16" borderId="7" xfId="0" applyFill="1" applyBorder="1"/>
    <xf numFmtId="0" fontId="0" fillId="16" borderId="8" xfId="0" applyFill="1" applyBorder="1"/>
    <xf numFmtId="0" fontId="15" fillId="4" borderId="19" xfId="0" applyFont="1" applyFill="1" applyBorder="1" applyAlignment="1">
      <alignment horizontal="center" vertical="center"/>
    </xf>
    <xf numFmtId="0" fontId="0" fillId="16" borderId="11" xfId="0" applyFill="1" applyBorder="1"/>
    <xf numFmtId="0" fontId="0" fillId="16" borderId="12" xfId="0" applyFill="1" applyBorder="1"/>
    <xf numFmtId="0" fontId="0" fillId="16" borderId="13" xfId="0" applyFill="1" applyBorder="1"/>
    <xf numFmtId="0" fontId="31" fillId="5" borderId="19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/>
    </xf>
    <xf numFmtId="165" fontId="28" fillId="6" borderId="1" xfId="0" applyNumberFormat="1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2" fillId="2" borderId="15" xfId="0" applyFont="1" applyFill="1" applyBorder="1" applyAlignment="1">
      <alignment horizontal="left" vertical="center"/>
    </xf>
    <xf numFmtId="0" fontId="25" fillId="14" borderId="3" xfId="0" applyFont="1" applyFill="1" applyBorder="1" applyAlignment="1">
      <alignment horizontal="right" vertical="center"/>
    </xf>
    <xf numFmtId="0" fontId="19" fillId="14" borderId="5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8" fillId="0" borderId="0" xfId="0" applyFont="1"/>
    <xf numFmtId="0" fontId="28" fillId="0" borderId="7" xfId="0" applyFont="1" applyBorder="1" applyAlignment="1">
      <alignment horizontal="left" vertical="center"/>
    </xf>
    <xf numFmtId="0" fontId="29" fillId="0" borderId="7" xfId="0" applyFont="1" applyBorder="1"/>
    <xf numFmtId="0" fontId="33" fillId="14" borderId="16" xfId="0" applyFont="1" applyFill="1" applyBorder="1" applyAlignment="1">
      <alignment horizontal="center" vertical="center" wrapText="1"/>
    </xf>
    <xf numFmtId="0" fontId="29" fillId="14" borderId="0" xfId="0" applyFont="1" applyFill="1"/>
    <xf numFmtId="0" fontId="15" fillId="7" borderId="1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center" vertical="center"/>
    </xf>
    <xf numFmtId="165" fontId="28" fillId="6" borderId="1" xfId="0" applyNumberFormat="1" applyFont="1" applyFill="1" applyBorder="1" applyAlignment="1">
      <alignment horizontal="center" vertical="center"/>
    </xf>
    <xf numFmtId="0" fontId="29" fillId="0" borderId="0" xfId="0" applyFont="1"/>
    <xf numFmtId="0" fontId="1" fillId="16" borderId="6" xfId="0" applyFont="1" applyFill="1" applyBorder="1" applyAlignment="1">
      <alignment horizontal="center" vertical="center"/>
    </xf>
    <xf numFmtId="0" fontId="0" fillId="16" borderId="7" xfId="0" applyFill="1" applyBorder="1"/>
    <xf numFmtId="0" fontId="30" fillId="3" borderId="9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164" fontId="32" fillId="2" borderId="1" xfId="0" applyNumberFormat="1" applyFont="1" applyFill="1" applyBorder="1" applyAlignment="1">
      <alignment horizontal="center" vertical="center"/>
    </xf>
    <xf numFmtId="0" fontId="23" fillId="14" borderId="3" xfId="0" applyFont="1" applyFill="1" applyBorder="1" applyAlignment="1">
      <alignment horizontal="right" vertical="center"/>
    </xf>
    <xf numFmtId="0" fontId="24" fillId="14" borderId="5" xfId="0" applyFont="1" applyFill="1" applyBorder="1"/>
    <xf numFmtId="0" fontId="6" fillId="0" borderId="9" xfId="0" applyFont="1" applyBorder="1" applyAlignment="1">
      <alignment horizontal="left" vertical="center" wrapText="1"/>
    </xf>
    <xf numFmtId="0" fontId="5" fillId="0" borderId="0" xfId="0" applyFont="1"/>
    <xf numFmtId="0" fontId="5" fillId="0" borderId="10" xfId="0" applyFont="1" applyBorder="1"/>
    <xf numFmtId="0" fontId="28" fillId="13" borderId="17" xfId="0" applyFont="1" applyFill="1" applyBorder="1" applyAlignment="1">
      <alignment horizontal="right" vertical="center"/>
    </xf>
    <xf numFmtId="0" fontId="29" fillId="13" borderId="7" xfId="0" applyFont="1" applyFill="1" applyBorder="1"/>
    <xf numFmtId="0" fontId="29" fillId="13" borderId="8" xfId="0" applyFont="1" applyFill="1" applyBorder="1"/>
    <xf numFmtId="0" fontId="28" fillId="0" borderId="6" xfId="0" applyFont="1" applyBorder="1" applyAlignment="1">
      <alignment horizontal="left" vertical="center"/>
    </xf>
    <xf numFmtId="0" fontId="23" fillId="14" borderId="15" xfId="0" applyFont="1" applyFill="1" applyBorder="1" applyAlignment="1">
      <alignment horizontal="right" vertical="center"/>
    </xf>
    <xf numFmtId="0" fontId="24" fillId="14" borderId="0" xfId="0" applyFont="1" applyFill="1"/>
    <xf numFmtId="164" fontId="32" fillId="2" borderId="21" xfId="0" applyNumberFormat="1" applyFont="1" applyFill="1" applyBorder="1" applyAlignment="1">
      <alignment horizontal="center" vertical="center"/>
    </xf>
    <xf numFmtId="0" fontId="29" fillId="0" borderId="12" xfId="0" applyFont="1" applyBorder="1"/>
    <xf numFmtId="0" fontId="1" fillId="16" borderId="7" xfId="0" applyFont="1" applyFill="1" applyBorder="1" applyAlignment="1">
      <alignment horizontal="center" vertical="center"/>
    </xf>
    <xf numFmtId="0" fontId="26" fillId="15" borderId="14" xfId="0" applyFont="1" applyFill="1" applyBorder="1" applyAlignment="1">
      <alignment horizontal="left" vertical="center"/>
    </xf>
    <xf numFmtId="0" fontId="27" fillId="15" borderId="4" xfId="0" applyFont="1" applyFill="1" applyBorder="1"/>
    <xf numFmtId="0" fontId="27" fillId="15" borderId="5" xfId="0" applyFont="1" applyFill="1" applyBorder="1"/>
    <xf numFmtId="0" fontId="15" fillId="11" borderId="16" xfId="0" applyFont="1" applyFill="1" applyBorder="1" applyAlignment="1">
      <alignment horizontal="center" vertical="center" wrapText="1"/>
    </xf>
    <xf numFmtId="165" fontId="28" fillId="6" borderId="21" xfId="0" applyNumberFormat="1" applyFont="1" applyFill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8" fillId="0" borderId="4" xfId="0" applyFont="1" applyBorder="1"/>
    <xf numFmtId="0" fontId="8" fillId="0" borderId="5" xfId="0" applyFont="1" applyBorder="1"/>
    <xf numFmtId="0" fontId="16" fillId="15" borderId="14" xfId="0" applyFont="1" applyFill="1" applyBorder="1" applyAlignment="1">
      <alignment horizontal="left" vertical="center"/>
    </xf>
    <xf numFmtId="0" fontId="17" fillId="15" borderId="4" xfId="0" applyFont="1" applyFill="1" applyBorder="1"/>
    <xf numFmtId="0" fontId="17" fillId="15" borderId="5" xfId="0" applyFont="1" applyFill="1" applyBorder="1"/>
    <xf numFmtId="0" fontId="12" fillId="0" borderId="14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5" xfId="0" applyFont="1" applyBorder="1"/>
    <xf numFmtId="0" fontId="21" fillId="15" borderId="0" xfId="0" applyFont="1" applyFill="1" applyAlignment="1">
      <alignment horizontal="left" vertical="center"/>
    </xf>
    <xf numFmtId="0" fontId="22" fillId="15" borderId="0" xfId="0" applyFont="1" applyFill="1"/>
    <xf numFmtId="0" fontId="18" fillId="0" borderId="0" xfId="0" applyFont="1" applyAlignment="1">
      <alignment horizontal="left" vertical="center"/>
    </xf>
    <xf numFmtId="0" fontId="19" fillId="0" borderId="0" xfId="0" applyFont="1"/>
  </cellXfs>
  <cellStyles count="1">
    <cellStyle name="Normal" xfId="0" builtinId="0"/>
  </cellStyles>
  <dxfs count="8">
    <dxf>
      <font>
        <b/>
        <sz val="9"/>
        <color rgb="FF1E8449"/>
        <name val="Arial"/>
      </font>
      <fill>
        <patternFill patternType="solid">
          <fgColor rgb="FFDCF1E6"/>
        </patternFill>
      </fill>
    </dxf>
    <dxf>
      <font>
        <b/>
        <sz val="9"/>
        <color rgb="FFC0392B"/>
        <name val="Arial"/>
      </font>
      <fill>
        <patternFill patternType="solid">
          <fgColor rgb="FFF7D7D7"/>
        </patternFill>
      </fill>
    </dxf>
    <dxf>
      <font>
        <b/>
        <sz val="9"/>
        <color rgb="FF1E8449"/>
        <name val="Arial"/>
      </font>
      <fill>
        <patternFill patternType="solid">
          <fgColor rgb="FFDCF1E6"/>
        </patternFill>
      </fill>
    </dxf>
    <dxf>
      <font>
        <b/>
        <sz val="9"/>
        <color rgb="FFC0392B"/>
        <name val="Arial"/>
      </font>
      <fill>
        <patternFill patternType="solid">
          <fgColor rgb="FFF7D7D7"/>
        </patternFill>
      </fill>
    </dxf>
    <dxf>
      <font>
        <b/>
        <sz val="9"/>
        <color rgb="FF1E8449"/>
        <name val="Arial"/>
      </font>
      <fill>
        <patternFill patternType="solid">
          <fgColor rgb="FFDCF1E6"/>
        </patternFill>
      </fill>
    </dxf>
    <dxf>
      <font>
        <b/>
        <sz val="9"/>
        <color rgb="FFC0392B"/>
        <name val="Arial"/>
      </font>
      <fill>
        <patternFill patternType="solid">
          <fgColor rgb="FFF7D7D7"/>
        </patternFill>
      </fill>
    </dxf>
    <dxf>
      <font>
        <b/>
        <sz val="9"/>
        <color rgb="FF1E8449"/>
        <name val="Arial"/>
      </font>
      <fill>
        <patternFill patternType="solid">
          <fgColor rgb="FFDCF1E6"/>
        </patternFill>
      </fill>
    </dxf>
    <dxf>
      <font>
        <b/>
        <sz val="9"/>
        <color rgb="FFC0392B"/>
        <name val="Arial"/>
      </font>
      <fill>
        <patternFill patternType="solid">
          <fgColor rgb="FFF7D7D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330200</xdr:colOff>
      <xdr:row>0</xdr:row>
      <xdr:rowOff>0</xdr:rowOff>
    </xdr:from>
    <xdr:to>
      <xdr:col>23</xdr:col>
      <xdr:colOff>231798</xdr:colOff>
      <xdr:row>0</xdr:row>
      <xdr:rowOff>1289304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E8090D-FBBD-0941-6AEC-EDB6CF79D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4486" y="0"/>
          <a:ext cx="1885973" cy="1289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1168400</xdr:colOff>
      <xdr:row>0</xdr:row>
      <xdr:rowOff>76201</xdr:rowOff>
    </xdr:from>
    <xdr:to>
      <xdr:col>4</xdr:col>
      <xdr:colOff>2654300</xdr:colOff>
      <xdr:row>0</xdr:row>
      <xdr:rowOff>1100641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D8772D-3840-C38F-14C3-8FC94774F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76201"/>
          <a:ext cx="1485900" cy="1024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1727200</xdr:colOff>
      <xdr:row>0</xdr:row>
      <xdr:rowOff>1</xdr:rowOff>
    </xdr:from>
    <xdr:to>
      <xdr:col>8</xdr:col>
      <xdr:colOff>3340100</xdr:colOff>
      <xdr:row>0</xdr:row>
      <xdr:rowOff>1112001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0A3296-9B85-3C17-89E6-8991B58EE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1"/>
          <a:ext cx="1612900" cy="11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5"/>
  <sheetViews>
    <sheetView showGridLines="0" tabSelected="1" zoomScale="87" workbookViewId="0">
      <selection sqref="A1:X1"/>
    </sheetView>
  </sheetViews>
  <sheetFormatPr baseColWidth="10" defaultColWidth="8.83203125" defaultRowHeight="15" x14ac:dyDescent="0.2"/>
  <cols>
    <col min="1" max="1" width="32.1640625" customWidth="1"/>
    <col min="2" max="2" width="25" customWidth="1"/>
    <col min="3" max="23" width="5.1640625" customWidth="1"/>
    <col min="24" max="24" width="9" customWidth="1"/>
  </cols>
  <sheetData>
    <row r="1" spans="1:24" ht="105" customHeight="1" thickBot="1" x14ac:dyDescent="0.4">
      <c r="A1" s="93" t="s">
        <v>64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5"/>
    </row>
    <row r="2" spans="1:24" ht="43" customHeight="1" thickBot="1" x14ac:dyDescent="0.3">
      <c r="A2" s="87" t="s">
        <v>0</v>
      </c>
      <c r="B2" s="67"/>
      <c r="C2" s="67"/>
      <c r="D2" s="67"/>
      <c r="E2" s="67"/>
      <c r="F2" s="67"/>
      <c r="G2" s="66" t="s">
        <v>1</v>
      </c>
      <c r="H2" s="67"/>
      <c r="I2" s="67"/>
      <c r="J2" s="67"/>
      <c r="K2" s="67"/>
      <c r="L2" s="67"/>
      <c r="M2" s="67"/>
      <c r="N2" s="67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27" customHeight="1" x14ac:dyDescent="0.2">
      <c r="A3" s="74"/>
      <c r="B3" s="75"/>
      <c r="C3" s="75"/>
      <c r="D3" s="75"/>
      <c r="E3" s="75"/>
      <c r="F3" s="75"/>
      <c r="G3" s="92"/>
      <c r="H3" s="75"/>
      <c r="I3" s="75"/>
      <c r="J3" s="75"/>
      <c r="K3" s="75"/>
      <c r="L3" s="75"/>
      <c r="M3" s="75"/>
      <c r="N3" s="75"/>
      <c r="O3" s="45"/>
      <c r="P3" s="45"/>
      <c r="Q3" s="45"/>
      <c r="R3" s="45"/>
      <c r="S3" s="45"/>
      <c r="T3" s="45"/>
      <c r="U3" s="45"/>
      <c r="V3" s="45"/>
      <c r="W3" s="45"/>
      <c r="X3" s="46"/>
    </row>
    <row r="4" spans="1:24" x14ac:dyDescent="0.2">
      <c r="A4" s="43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4"/>
    </row>
    <row r="5" spans="1:24" ht="49" customHeight="1" x14ac:dyDescent="0.25">
      <c r="A5" s="76" t="s">
        <v>2</v>
      </c>
      <c r="B5" s="73"/>
      <c r="C5" s="73"/>
      <c r="D5" s="73"/>
      <c r="E5" s="73"/>
      <c r="F5" s="73"/>
      <c r="G5" s="73"/>
      <c r="H5" s="73"/>
      <c r="I5" s="43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4"/>
    </row>
    <row r="6" spans="1:24" ht="22" customHeight="1" x14ac:dyDescent="0.25">
      <c r="A6" s="47" t="s">
        <v>3</v>
      </c>
      <c r="B6" s="41" t="s">
        <v>4</v>
      </c>
      <c r="C6" s="64" t="s">
        <v>5</v>
      </c>
      <c r="D6" s="65"/>
      <c r="E6" s="64" t="s">
        <v>6</v>
      </c>
      <c r="F6" s="65"/>
      <c r="G6" s="64" t="s">
        <v>7</v>
      </c>
      <c r="H6" s="65"/>
      <c r="I6" s="43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4"/>
    </row>
    <row r="7" spans="1:24" ht="23" customHeight="1" x14ac:dyDescent="0.25">
      <c r="A7" s="51" t="s">
        <v>8</v>
      </c>
      <c r="B7" s="52" t="s">
        <v>9</v>
      </c>
      <c r="C7" s="78">
        <v>0.33333333333333331</v>
      </c>
      <c r="D7" s="73"/>
      <c r="E7" s="78">
        <v>0.66666666666666663</v>
      </c>
      <c r="F7" s="73"/>
      <c r="G7" s="72">
        <f>IF(E7&gt;C7,(E7-C7)*24,(E7+1-C7)*24)</f>
        <v>8</v>
      </c>
      <c r="H7" s="73"/>
      <c r="I7" s="43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4"/>
    </row>
    <row r="8" spans="1:24" ht="21" customHeight="1" x14ac:dyDescent="0.25">
      <c r="A8" s="51" t="s">
        <v>10</v>
      </c>
      <c r="B8" s="52" t="s">
        <v>11</v>
      </c>
      <c r="C8" s="78">
        <v>0.45833333333333331</v>
      </c>
      <c r="D8" s="73"/>
      <c r="E8" s="78">
        <v>0.66666666666666663</v>
      </c>
      <c r="F8" s="73"/>
      <c r="G8" s="72">
        <f>IF(E8&gt;C8,(E8-C8)*24,(E8+1-C8)*24)</f>
        <v>5</v>
      </c>
      <c r="H8" s="73"/>
      <c r="I8" s="43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4"/>
    </row>
    <row r="9" spans="1:24" ht="25" customHeight="1" thickBot="1" x14ac:dyDescent="0.3">
      <c r="A9" s="54" t="s">
        <v>12</v>
      </c>
      <c r="B9" s="55" t="s">
        <v>13</v>
      </c>
      <c r="C9" s="90">
        <v>0.66666666666666663</v>
      </c>
      <c r="D9" s="91"/>
      <c r="E9" s="90">
        <v>0.91666666666666663</v>
      </c>
      <c r="F9" s="91"/>
      <c r="G9" s="97">
        <f>IF(E9&gt;C9,(E9-C9)*24,(E9+1-C9)*24)</f>
        <v>6</v>
      </c>
      <c r="H9" s="91"/>
      <c r="I9" s="48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50"/>
    </row>
    <row r="10" spans="1:24" ht="31" customHeight="1" thickBot="1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4"/>
    </row>
    <row r="11" spans="1:24" ht="16" customHeight="1" x14ac:dyDescent="0.25">
      <c r="A11" s="98" t="s">
        <v>14</v>
      </c>
      <c r="B11" s="68" t="s">
        <v>15</v>
      </c>
      <c r="C11" s="71" t="s">
        <v>16</v>
      </c>
      <c r="D11" s="65"/>
      <c r="E11" s="65"/>
      <c r="F11" s="77" t="s">
        <v>17</v>
      </c>
      <c r="G11" s="65"/>
      <c r="H11" s="65"/>
      <c r="I11" s="71" t="s">
        <v>18</v>
      </c>
      <c r="J11" s="65"/>
      <c r="K11" s="65"/>
      <c r="L11" s="77" t="s">
        <v>19</v>
      </c>
      <c r="M11" s="65"/>
      <c r="N11" s="65"/>
      <c r="O11" s="71" t="s">
        <v>20</v>
      </c>
      <c r="P11" s="65"/>
      <c r="Q11" s="65"/>
      <c r="R11" s="77" t="s">
        <v>21</v>
      </c>
      <c r="S11" s="65"/>
      <c r="T11" s="65"/>
      <c r="U11" s="71" t="s">
        <v>22</v>
      </c>
      <c r="V11" s="65"/>
      <c r="W11" s="65"/>
      <c r="X11" s="96" t="s">
        <v>23</v>
      </c>
    </row>
    <row r="12" spans="1:24" ht="34" customHeight="1" x14ac:dyDescent="0.2">
      <c r="A12" s="73"/>
      <c r="B12" s="69"/>
      <c r="C12" s="56" t="s">
        <v>8</v>
      </c>
      <c r="D12" s="57" t="s">
        <v>10</v>
      </c>
      <c r="E12" s="58" t="s">
        <v>12</v>
      </c>
      <c r="F12" s="56" t="s">
        <v>8</v>
      </c>
      <c r="G12" s="57" t="s">
        <v>10</v>
      </c>
      <c r="H12" s="58" t="s">
        <v>12</v>
      </c>
      <c r="I12" s="56" t="s">
        <v>8</v>
      </c>
      <c r="J12" s="57" t="s">
        <v>10</v>
      </c>
      <c r="K12" s="58" t="s">
        <v>12</v>
      </c>
      <c r="L12" s="56" t="s">
        <v>8</v>
      </c>
      <c r="M12" s="57" t="s">
        <v>10</v>
      </c>
      <c r="N12" s="58" t="s">
        <v>12</v>
      </c>
      <c r="O12" s="56" t="s">
        <v>8</v>
      </c>
      <c r="P12" s="57" t="s">
        <v>10</v>
      </c>
      <c r="Q12" s="58" t="s">
        <v>12</v>
      </c>
      <c r="R12" s="56" t="s">
        <v>8</v>
      </c>
      <c r="S12" s="57" t="s">
        <v>10</v>
      </c>
      <c r="T12" s="58" t="s">
        <v>12</v>
      </c>
      <c r="U12" s="56" t="s">
        <v>8</v>
      </c>
      <c r="V12" s="57" t="s">
        <v>10</v>
      </c>
      <c r="W12" s="58" t="s">
        <v>12</v>
      </c>
      <c r="X12" s="65"/>
    </row>
    <row r="13" spans="1:24" ht="27" customHeight="1" x14ac:dyDescent="0.25">
      <c r="A13" s="70" t="s">
        <v>24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</row>
    <row r="14" spans="1:24" ht="20" x14ac:dyDescent="0.2">
      <c r="A14" s="52"/>
      <c r="B14" s="52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3">
        <f>SUM(C14:W14)</f>
        <v>0</v>
      </c>
    </row>
    <row r="15" spans="1:24" ht="20" x14ac:dyDescent="0.2">
      <c r="A15" s="52"/>
      <c r="B15" s="52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53">
        <f>SUM(C15:W15)</f>
        <v>0</v>
      </c>
    </row>
    <row r="16" spans="1:24" ht="20" x14ac:dyDescent="0.2">
      <c r="A16" s="52"/>
      <c r="B16" s="52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3">
        <f>SUM(C16:W16)</f>
        <v>0</v>
      </c>
    </row>
    <row r="17" spans="1:24" ht="21" thickBot="1" x14ac:dyDescent="0.25">
      <c r="A17" s="61"/>
      <c r="B17" s="61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53">
        <f>SUM(C17:W17)</f>
        <v>0</v>
      </c>
    </row>
    <row r="18" spans="1:24" ht="28" customHeight="1" thickBot="1" x14ac:dyDescent="0.3">
      <c r="A18" s="79" t="s">
        <v>25</v>
      </c>
      <c r="B18" s="80"/>
      <c r="C18" s="36"/>
      <c r="D18" s="37">
        <f t="shared" ref="D18:W18" si="0">COUNTA(D14:D17)</f>
        <v>0</v>
      </c>
      <c r="E18" s="37">
        <f t="shared" si="0"/>
        <v>0</v>
      </c>
      <c r="F18" s="37">
        <f t="shared" si="0"/>
        <v>0</v>
      </c>
      <c r="G18" s="37">
        <f t="shared" si="0"/>
        <v>0</v>
      </c>
      <c r="H18" s="37">
        <f t="shared" si="0"/>
        <v>0</v>
      </c>
      <c r="I18" s="37">
        <f t="shared" si="0"/>
        <v>0</v>
      </c>
      <c r="J18" s="37">
        <f t="shared" si="0"/>
        <v>0</v>
      </c>
      <c r="K18" s="37">
        <f t="shared" si="0"/>
        <v>0</v>
      </c>
      <c r="L18" s="37">
        <f t="shared" si="0"/>
        <v>0</v>
      </c>
      <c r="M18" s="37">
        <f t="shared" si="0"/>
        <v>0</v>
      </c>
      <c r="N18" s="37">
        <f t="shared" si="0"/>
        <v>0</v>
      </c>
      <c r="O18" s="37">
        <f t="shared" si="0"/>
        <v>0</v>
      </c>
      <c r="P18" s="37">
        <f t="shared" si="0"/>
        <v>0</v>
      </c>
      <c r="Q18" s="37">
        <f t="shared" si="0"/>
        <v>0</v>
      </c>
      <c r="R18" s="37">
        <f t="shared" si="0"/>
        <v>0</v>
      </c>
      <c r="S18" s="37">
        <f t="shared" si="0"/>
        <v>0</v>
      </c>
      <c r="T18" s="37">
        <f t="shared" si="0"/>
        <v>0</v>
      </c>
      <c r="U18" s="37">
        <f t="shared" si="0"/>
        <v>0</v>
      </c>
      <c r="V18" s="37">
        <f t="shared" si="0"/>
        <v>0</v>
      </c>
      <c r="W18" s="37">
        <f t="shared" si="0"/>
        <v>0</v>
      </c>
      <c r="X18" s="38">
        <f>SUM(X14:X17)</f>
        <v>0</v>
      </c>
    </row>
    <row r="19" spans="1:24" ht="21" customHeight="1" thickBot="1" x14ac:dyDescent="0.3">
      <c r="A19" s="62" t="s">
        <v>26</v>
      </c>
      <c r="B19" s="63"/>
      <c r="C19" s="39">
        <f>Dotación!B8</f>
        <v>0</v>
      </c>
      <c r="D19" s="40">
        <f>Dotación!C8</f>
        <v>0</v>
      </c>
      <c r="E19" s="40">
        <f>Dotación!D8</f>
        <v>0</v>
      </c>
      <c r="F19" s="40">
        <f>Dotación!B9</f>
        <v>0</v>
      </c>
      <c r="G19" s="40">
        <f>Dotación!C9</f>
        <v>0</v>
      </c>
      <c r="H19" s="40">
        <f>Dotación!D9</f>
        <v>0</v>
      </c>
      <c r="I19" s="40">
        <f>Dotación!B10</f>
        <v>0</v>
      </c>
      <c r="J19" s="40">
        <f>Dotación!C10</f>
        <v>0</v>
      </c>
      <c r="K19" s="40">
        <f>Dotación!D10</f>
        <v>0</v>
      </c>
      <c r="L19" s="40">
        <f>Dotación!B11</f>
        <v>0</v>
      </c>
      <c r="M19" s="40">
        <f>Dotación!C11</f>
        <v>0</v>
      </c>
      <c r="N19" s="40">
        <f>Dotación!D11</f>
        <v>0</v>
      </c>
      <c r="O19" s="40">
        <f>Dotación!B12</f>
        <v>0</v>
      </c>
      <c r="P19" s="40">
        <f>Dotación!C12</f>
        <v>0</v>
      </c>
      <c r="Q19" s="40">
        <f>Dotación!D12</f>
        <v>0</v>
      </c>
      <c r="R19" s="40">
        <f>Dotación!B13</f>
        <v>0</v>
      </c>
      <c r="S19" s="40">
        <f>Dotación!C13</f>
        <v>0</v>
      </c>
      <c r="T19" s="40">
        <f>Dotación!D13</f>
        <v>0</v>
      </c>
      <c r="U19" s="40">
        <f>Dotación!B14</f>
        <v>0</v>
      </c>
      <c r="V19" s="40">
        <f>Dotación!C14</f>
        <v>0</v>
      </c>
      <c r="W19" s="40">
        <f>Dotación!D14</f>
        <v>0</v>
      </c>
      <c r="X19" s="35"/>
    </row>
    <row r="20" spans="1:24" ht="19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ht="27" customHeight="1" x14ac:dyDescent="0.25">
      <c r="A21" s="70" t="s">
        <v>27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spans="1:24" ht="18" x14ac:dyDescent="0.2">
      <c r="A22" s="15"/>
      <c r="B22" s="15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3">
        <f t="shared" ref="X22:X27" si="1">SUM(C22:W22)</f>
        <v>0</v>
      </c>
    </row>
    <row r="23" spans="1:24" ht="18" x14ac:dyDescent="0.2">
      <c r="A23" s="15"/>
      <c r="B23" s="1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3">
        <f t="shared" si="1"/>
        <v>0</v>
      </c>
    </row>
    <row r="24" spans="1:24" ht="18" x14ac:dyDescent="0.2">
      <c r="A24" s="15"/>
      <c r="B24" s="15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3">
        <f t="shared" si="1"/>
        <v>0</v>
      </c>
    </row>
    <row r="25" spans="1:24" ht="18" x14ac:dyDescent="0.2">
      <c r="A25" s="15"/>
      <c r="B25" s="1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3">
        <f t="shared" si="1"/>
        <v>0</v>
      </c>
    </row>
    <row r="26" spans="1:24" ht="18" x14ac:dyDescent="0.2">
      <c r="A26" s="15"/>
      <c r="B26" s="15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3">
        <f t="shared" si="1"/>
        <v>0</v>
      </c>
    </row>
    <row r="27" spans="1:24" ht="19" thickBot="1" x14ac:dyDescent="0.25">
      <c r="A27" s="17"/>
      <c r="B27" s="17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3">
        <f t="shared" si="1"/>
        <v>0</v>
      </c>
    </row>
    <row r="28" spans="1:24" ht="22" customHeight="1" thickBot="1" x14ac:dyDescent="0.3">
      <c r="A28" s="79" t="s">
        <v>25</v>
      </c>
      <c r="B28" s="80"/>
      <c r="C28" s="36">
        <v>4</v>
      </c>
      <c r="D28" s="37">
        <f t="shared" ref="D28:W28" si="2">COUNTA(D22:D27)</f>
        <v>0</v>
      </c>
      <c r="E28" s="37">
        <f t="shared" si="2"/>
        <v>0</v>
      </c>
      <c r="F28" s="37">
        <f t="shared" si="2"/>
        <v>0</v>
      </c>
      <c r="G28" s="37">
        <f t="shared" si="2"/>
        <v>0</v>
      </c>
      <c r="H28" s="37">
        <f t="shared" si="2"/>
        <v>0</v>
      </c>
      <c r="I28" s="37">
        <f t="shared" si="2"/>
        <v>0</v>
      </c>
      <c r="J28" s="37">
        <f t="shared" si="2"/>
        <v>0</v>
      </c>
      <c r="K28" s="37">
        <f t="shared" si="2"/>
        <v>0</v>
      </c>
      <c r="L28" s="37">
        <f t="shared" si="2"/>
        <v>0</v>
      </c>
      <c r="M28" s="37">
        <f t="shared" si="2"/>
        <v>0</v>
      </c>
      <c r="N28" s="37">
        <f t="shared" si="2"/>
        <v>0</v>
      </c>
      <c r="O28" s="37">
        <f t="shared" si="2"/>
        <v>0</v>
      </c>
      <c r="P28" s="37">
        <f t="shared" si="2"/>
        <v>0</v>
      </c>
      <c r="Q28" s="37">
        <f t="shared" si="2"/>
        <v>0</v>
      </c>
      <c r="R28" s="37">
        <f t="shared" si="2"/>
        <v>0</v>
      </c>
      <c r="S28" s="37">
        <f t="shared" si="2"/>
        <v>0</v>
      </c>
      <c r="T28" s="37">
        <f t="shared" si="2"/>
        <v>0</v>
      </c>
      <c r="U28" s="37">
        <f t="shared" si="2"/>
        <v>0</v>
      </c>
      <c r="V28" s="37">
        <f t="shared" si="2"/>
        <v>0</v>
      </c>
      <c r="W28" s="37">
        <f t="shared" si="2"/>
        <v>0</v>
      </c>
      <c r="X28" s="38">
        <f>SUM(X22:X27)</f>
        <v>0</v>
      </c>
    </row>
    <row r="29" spans="1:24" ht="23" customHeight="1" thickBot="1" x14ac:dyDescent="0.3">
      <c r="A29" s="62" t="s">
        <v>26</v>
      </c>
      <c r="B29" s="63"/>
      <c r="C29" s="39">
        <f>Dotación!B18</f>
        <v>3</v>
      </c>
      <c r="D29" s="40">
        <f>Dotación!C18</f>
        <v>3</v>
      </c>
      <c r="E29" s="40">
        <f>Dotación!D18</f>
        <v>4</v>
      </c>
      <c r="F29" s="40">
        <f>Dotación!B19</f>
        <v>0</v>
      </c>
      <c r="G29" s="40">
        <f>Dotación!C19</f>
        <v>0</v>
      </c>
      <c r="H29" s="40">
        <f>Dotación!D19</f>
        <v>0</v>
      </c>
      <c r="I29" s="40">
        <f>Dotación!B20</f>
        <v>0</v>
      </c>
      <c r="J29" s="40">
        <f>Dotación!C20</f>
        <v>0</v>
      </c>
      <c r="K29" s="40">
        <f>Dotación!D20</f>
        <v>0</v>
      </c>
      <c r="L29" s="40">
        <f>Dotación!B21</f>
        <v>0</v>
      </c>
      <c r="M29" s="40">
        <f>Dotación!C21</f>
        <v>0</v>
      </c>
      <c r="N29" s="40">
        <f>Dotación!D21</f>
        <v>0</v>
      </c>
      <c r="O29" s="40">
        <f>Dotación!B22</f>
        <v>0</v>
      </c>
      <c r="P29" s="40">
        <f>Dotación!C22</f>
        <v>0</v>
      </c>
      <c r="Q29" s="40">
        <f>Dotación!D22</f>
        <v>0</v>
      </c>
      <c r="R29" s="40">
        <f>Dotación!B23</f>
        <v>0</v>
      </c>
      <c r="S29" s="40">
        <f>Dotación!C23</f>
        <v>0</v>
      </c>
      <c r="T29" s="40">
        <f>Dotación!D23</f>
        <v>0</v>
      </c>
      <c r="U29" s="40">
        <f>Dotación!B24</f>
        <v>0</v>
      </c>
      <c r="V29" s="40">
        <f>Dotación!C24</f>
        <v>0</v>
      </c>
      <c r="W29" s="40">
        <f>Dotación!D24</f>
        <v>0</v>
      </c>
      <c r="X29" s="35"/>
    </row>
    <row r="30" spans="1:24" ht="19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ht="29" customHeight="1" x14ac:dyDescent="0.25">
      <c r="A31" s="70" t="s">
        <v>28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 spans="1:24" ht="18" x14ac:dyDescent="0.2">
      <c r="A32" s="15"/>
      <c r="B32" s="15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3">
        <f t="shared" ref="X32:X37" si="3">SUM(C32:W32)</f>
        <v>0</v>
      </c>
    </row>
    <row r="33" spans="1:24" ht="18" x14ac:dyDescent="0.2">
      <c r="A33" s="15"/>
      <c r="B33" s="1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3">
        <f t="shared" si="3"/>
        <v>0</v>
      </c>
    </row>
    <row r="34" spans="1:24" ht="18" x14ac:dyDescent="0.2">
      <c r="A34" s="15"/>
      <c r="B34" s="15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3">
        <f t="shared" si="3"/>
        <v>0</v>
      </c>
    </row>
    <row r="35" spans="1:24" ht="18" x14ac:dyDescent="0.2">
      <c r="A35" s="15"/>
      <c r="B35" s="1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3">
        <f t="shared" si="3"/>
        <v>0</v>
      </c>
    </row>
    <row r="36" spans="1:24" ht="18" x14ac:dyDescent="0.2">
      <c r="A36" s="15"/>
      <c r="B36" s="15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3">
        <f t="shared" si="3"/>
        <v>0</v>
      </c>
    </row>
    <row r="37" spans="1:24" ht="19" thickBot="1" x14ac:dyDescent="0.25">
      <c r="A37" s="17"/>
      <c r="B37" s="17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3">
        <f t="shared" si="3"/>
        <v>0</v>
      </c>
    </row>
    <row r="38" spans="1:24" ht="21" customHeight="1" thickBot="1" x14ac:dyDescent="0.3">
      <c r="A38" s="79" t="s">
        <v>25</v>
      </c>
      <c r="B38" s="80"/>
      <c r="C38" s="36">
        <f t="shared" ref="C38:W38" si="4">COUNTA(C32:C37)</f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>
        <f t="shared" si="4"/>
        <v>0</v>
      </c>
      <c r="S38" s="37">
        <f t="shared" si="4"/>
        <v>0</v>
      </c>
      <c r="T38" s="37">
        <f t="shared" si="4"/>
        <v>0</v>
      </c>
      <c r="U38" s="37">
        <f t="shared" si="4"/>
        <v>0</v>
      </c>
      <c r="V38" s="37">
        <f t="shared" si="4"/>
        <v>0</v>
      </c>
      <c r="W38" s="37">
        <f t="shared" si="4"/>
        <v>0</v>
      </c>
      <c r="X38" s="38">
        <f>SUM(X32:X37)</f>
        <v>0</v>
      </c>
    </row>
    <row r="39" spans="1:24" ht="22" customHeight="1" thickBot="1" x14ac:dyDescent="0.3">
      <c r="A39" s="62" t="s">
        <v>26</v>
      </c>
      <c r="B39" s="63"/>
      <c r="C39" s="39">
        <f>Dotación!B28</f>
        <v>0</v>
      </c>
      <c r="D39" s="40">
        <f>Dotación!C28</f>
        <v>0</v>
      </c>
      <c r="E39" s="40">
        <f>Dotación!D28</f>
        <v>0</v>
      </c>
      <c r="F39" s="40">
        <f>Dotación!B29</f>
        <v>0</v>
      </c>
      <c r="G39" s="40">
        <f>Dotación!C29</f>
        <v>0</v>
      </c>
      <c r="H39" s="40">
        <f>Dotación!D29</f>
        <v>0</v>
      </c>
      <c r="I39" s="40">
        <f>Dotación!B30</f>
        <v>0</v>
      </c>
      <c r="J39" s="40">
        <f>Dotación!C30</f>
        <v>0</v>
      </c>
      <c r="K39" s="40">
        <f>Dotación!D30</f>
        <v>0</v>
      </c>
      <c r="L39" s="40">
        <f>Dotación!B31</f>
        <v>0</v>
      </c>
      <c r="M39" s="40">
        <f>Dotación!C31</f>
        <v>0</v>
      </c>
      <c r="N39" s="40">
        <f>Dotación!D31</f>
        <v>0</v>
      </c>
      <c r="O39" s="40">
        <f>Dotación!B32</f>
        <v>0</v>
      </c>
      <c r="P39" s="40">
        <f>Dotación!C32</f>
        <v>0</v>
      </c>
      <c r="Q39" s="40">
        <f>Dotación!D32</f>
        <v>0</v>
      </c>
      <c r="R39" s="40">
        <f>Dotación!B33</f>
        <v>0</v>
      </c>
      <c r="S39" s="40">
        <f>Dotación!C33</f>
        <v>0</v>
      </c>
      <c r="T39" s="40">
        <f>Dotación!D33</f>
        <v>0</v>
      </c>
      <c r="U39" s="40">
        <f>Dotación!B34</f>
        <v>0</v>
      </c>
      <c r="V39" s="40">
        <f>Dotación!C34</f>
        <v>0</v>
      </c>
      <c r="W39" s="40">
        <f>Dotación!D34</f>
        <v>0</v>
      </c>
      <c r="X39" s="35"/>
    </row>
    <row r="40" spans="1:24" ht="19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31" customHeight="1" x14ac:dyDescent="0.25">
      <c r="A41" s="70" t="s">
        <v>29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</row>
    <row r="42" spans="1:24" ht="18" x14ac:dyDescent="0.2">
      <c r="A42" s="15"/>
      <c r="B42" s="15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3">
        <f>SUM(C42:W42)</f>
        <v>0</v>
      </c>
    </row>
    <row r="43" spans="1:24" ht="18" x14ac:dyDescent="0.2">
      <c r="A43" s="15"/>
      <c r="B43" s="1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3">
        <f>SUM(C43:W43)</f>
        <v>0</v>
      </c>
    </row>
    <row r="44" spans="1:24" ht="18" x14ac:dyDescent="0.2">
      <c r="A44" s="15"/>
      <c r="B44" s="15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3">
        <f>SUM(C44:W44)</f>
        <v>0</v>
      </c>
    </row>
    <row r="45" spans="1:24" ht="18" x14ac:dyDescent="0.2">
      <c r="A45" s="15"/>
      <c r="B45" s="1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3">
        <f>SUM(C45:W45)</f>
        <v>0</v>
      </c>
    </row>
    <row r="46" spans="1:24" ht="21" customHeight="1" thickBot="1" x14ac:dyDescent="0.3">
      <c r="A46" s="88" t="s">
        <v>25</v>
      </c>
      <c r="B46" s="89"/>
      <c r="C46" s="37">
        <f t="shared" ref="C46:W46" si="5">COUNTA(C42:C45)</f>
        <v>0</v>
      </c>
      <c r="D46" s="37">
        <f t="shared" si="5"/>
        <v>0</v>
      </c>
      <c r="E46" s="37">
        <f t="shared" si="5"/>
        <v>0</v>
      </c>
      <c r="F46" s="37">
        <f t="shared" si="5"/>
        <v>0</v>
      </c>
      <c r="G46" s="37">
        <f t="shared" si="5"/>
        <v>0</v>
      </c>
      <c r="H46" s="37">
        <f t="shared" si="5"/>
        <v>0</v>
      </c>
      <c r="I46" s="37">
        <f t="shared" si="5"/>
        <v>0</v>
      </c>
      <c r="J46" s="37">
        <f t="shared" si="5"/>
        <v>0</v>
      </c>
      <c r="K46" s="37">
        <f t="shared" si="5"/>
        <v>0</v>
      </c>
      <c r="L46" s="37">
        <f t="shared" si="5"/>
        <v>0</v>
      </c>
      <c r="M46" s="37">
        <f t="shared" si="5"/>
        <v>0</v>
      </c>
      <c r="N46" s="37">
        <f t="shared" si="5"/>
        <v>0</v>
      </c>
      <c r="O46" s="37">
        <f t="shared" si="5"/>
        <v>0</v>
      </c>
      <c r="P46" s="37">
        <f t="shared" si="5"/>
        <v>0</v>
      </c>
      <c r="Q46" s="37">
        <f t="shared" si="5"/>
        <v>0</v>
      </c>
      <c r="R46" s="37">
        <f t="shared" si="5"/>
        <v>0</v>
      </c>
      <c r="S46" s="37">
        <f t="shared" si="5"/>
        <v>0</v>
      </c>
      <c r="T46" s="37">
        <f t="shared" si="5"/>
        <v>0</v>
      </c>
      <c r="U46" s="37">
        <f t="shared" si="5"/>
        <v>0</v>
      </c>
      <c r="V46" s="37">
        <f t="shared" si="5"/>
        <v>0</v>
      </c>
      <c r="W46" s="37">
        <f t="shared" si="5"/>
        <v>0</v>
      </c>
      <c r="X46" s="38">
        <f>SUM(X42:X45)</f>
        <v>0</v>
      </c>
    </row>
    <row r="47" spans="1:24" ht="24" customHeight="1" thickBot="1" x14ac:dyDescent="0.3">
      <c r="A47" s="62" t="s">
        <v>26</v>
      </c>
      <c r="B47" s="63"/>
      <c r="C47" s="39">
        <f>Dotación!B38</f>
        <v>0</v>
      </c>
      <c r="D47" s="40">
        <f>Dotación!C38</f>
        <v>0</v>
      </c>
      <c r="E47" s="40">
        <f>Dotación!D38</f>
        <v>0</v>
      </c>
      <c r="F47" s="40">
        <f>Dotación!B39</f>
        <v>0</v>
      </c>
      <c r="G47" s="40">
        <f>Dotación!C39</f>
        <v>0</v>
      </c>
      <c r="H47" s="40">
        <f>Dotación!D39</f>
        <v>0</v>
      </c>
      <c r="I47" s="40">
        <f>Dotación!B40</f>
        <v>0</v>
      </c>
      <c r="J47" s="40">
        <f>Dotación!C40</f>
        <v>0</v>
      </c>
      <c r="K47" s="40">
        <f>Dotación!D40</f>
        <v>0</v>
      </c>
      <c r="L47" s="40">
        <f>Dotación!B41</f>
        <v>0</v>
      </c>
      <c r="M47" s="40">
        <f>Dotación!C41</f>
        <v>0</v>
      </c>
      <c r="N47" s="40">
        <f>Dotación!D41</f>
        <v>0</v>
      </c>
      <c r="O47" s="40">
        <f>Dotación!B42</f>
        <v>0</v>
      </c>
      <c r="P47" s="40">
        <f>Dotación!C42</f>
        <v>0</v>
      </c>
      <c r="Q47" s="40">
        <f>Dotación!D42</f>
        <v>0</v>
      </c>
      <c r="R47" s="40">
        <f>Dotación!B43</f>
        <v>0</v>
      </c>
      <c r="S47" s="40">
        <f>Dotación!C43</f>
        <v>0</v>
      </c>
      <c r="T47" s="40">
        <f>Dotación!D43</f>
        <v>0</v>
      </c>
      <c r="U47" s="40">
        <f>Dotación!B44</f>
        <v>0</v>
      </c>
      <c r="V47" s="40">
        <f>Dotación!C44</f>
        <v>0</v>
      </c>
      <c r="W47" s="40">
        <f>Dotación!D44</f>
        <v>0</v>
      </c>
      <c r="X47" s="35"/>
    </row>
    <row r="48" spans="1:24" ht="16" thickBot="1" x14ac:dyDescent="0.25"/>
    <row r="49" spans="1:24" ht="39" customHeight="1" thickBot="1" x14ac:dyDescent="0.3">
      <c r="A49" s="84" t="s">
        <v>30</v>
      </c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6"/>
      <c r="X49" s="18">
        <f>X18+X28+X38+X46</f>
        <v>0</v>
      </c>
    </row>
    <row r="50" spans="1:24" x14ac:dyDescent="0.2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6"/>
    </row>
    <row r="51" spans="1:24" ht="28" customHeight="1" x14ac:dyDescent="0.2">
      <c r="A51" s="81" t="s">
        <v>31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3"/>
    </row>
    <row r="52" spans="1:24" x14ac:dyDescent="0.2">
      <c r="A52" s="7"/>
      <c r="X52" s="8"/>
    </row>
    <row r="53" spans="1:24" x14ac:dyDescent="0.2">
      <c r="A53" s="7"/>
      <c r="X53" s="8"/>
    </row>
    <row r="54" spans="1:24" x14ac:dyDescent="0.2">
      <c r="A54" s="7"/>
      <c r="X54" s="8"/>
    </row>
    <row r="55" spans="1:24" ht="16" thickBot="1" x14ac:dyDescent="0.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</row>
  </sheetData>
  <mergeCells count="42">
    <mergeCell ref="A1:X1"/>
    <mergeCell ref="X11:X12"/>
    <mergeCell ref="G9:H9"/>
    <mergeCell ref="A11:A12"/>
    <mergeCell ref="A29:B29"/>
    <mergeCell ref="E7:F7"/>
    <mergeCell ref="A19:B19"/>
    <mergeCell ref="A28:B28"/>
    <mergeCell ref="L11:N11"/>
    <mergeCell ref="C7:D7"/>
    <mergeCell ref="A51:X51"/>
    <mergeCell ref="A39:B39"/>
    <mergeCell ref="A49:W49"/>
    <mergeCell ref="E8:F8"/>
    <mergeCell ref="A2:F2"/>
    <mergeCell ref="A21:X21"/>
    <mergeCell ref="C11:E11"/>
    <mergeCell ref="G7:H7"/>
    <mergeCell ref="A46:B46"/>
    <mergeCell ref="G6:H6"/>
    <mergeCell ref="C9:D9"/>
    <mergeCell ref="A18:B18"/>
    <mergeCell ref="E9:F9"/>
    <mergeCell ref="O11:Q11"/>
    <mergeCell ref="G3:N3"/>
    <mergeCell ref="E6:F6"/>
    <mergeCell ref="A47:B47"/>
    <mergeCell ref="C6:D6"/>
    <mergeCell ref="G2:N2"/>
    <mergeCell ref="B11:B12"/>
    <mergeCell ref="A41:X41"/>
    <mergeCell ref="U11:W11"/>
    <mergeCell ref="G8:H8"/>
    <mergeCell ref="A3:F3"/>
    <mergeCell ref="A5:H5"/>
    <mergeCell ref="A13:X13"/>
    <mergeCell ref="A31:X31"/>
    <mergeCell ref="F11:H11"/>
    <mergeCell ref="C8:D8"/>
    <mergeCell ref="I11:K11"/>
    <mergeCell ref="A38:B38"/>
    <mergeCell ref="R11:T11"/>
  </mergeCells>
  <conditionalFormatting sqref="C18:W18">
    <cfRule type="expression" dxfId="7" priority="1">
      <formula>AND(ISNUMBER(C19),C19&gt;0,C18&lt;C19)</formula>
    </cfRule>
    <cfRule type="expression" dxfId="6" priority="2">
      <formula>AND(ISNUMBER(C19),C19&gt;0,C18&gt;=C19)</formula>
    </cfRule>
  </conditionalFormatting>
  <conditionalFormatting sqref="C28:W28">
    <cfRule type="expression" dxfId="5" priority="43">
      <formula>AND(ISNUMBER(C29),C29&gt;0,C28&lt;C29)</formula>
    </cfRule>
    <cfRule type="expression" dxfId="4" priority="44">
      <formula>AND(ISNUMBER(C29),C29&gt;0,C28&gt;=C29)</formula>
    </cfRule>
  </conditionalFormatting>
  <conditionalFormatting sqref="C38:W38">
    <cfRule type="expression" dxfId="3" priority="85">
      <formula>AND(ISNUMBER(C39),C39&gt;0,C38&lt;C39)</formula>
    </cfRule>
    <cfRule type="expression" dxfId="2" priority="86">
      <formula>AND(ISNUMBER(C39),C39&gt;0,C38&gt;=C39)</formula>
    </cfRule>
  </conditionalFormatting>
  <conditionalFormatting sqref="C46:W46">
    <cfRule type="expression" dxfId="1" priority="127">
      <formula>AND(ISNUMBER(C47),C47&gt;0,C46&lt;C47)</formula>
    </cfRule>
    <cfRule type="expression" dxfId="0" priority="128">
      <formula>AND(ISNUMBER(C47),C47&gt;0,C46&gt;=C47)</formula>
    </cfRule>
  </conditionalFormatting>
  <pageMargins left="0.25" right="0.25" top="0.35" bottom="0.35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showGridLines="0" workbookViewId="0">
      <selection activeCell="H13" sqref="H13"/>
    </sheetView>
  </sheetViews>
  <sheetFormatPr baseColWidth="10" defaultColWidth="8.83203125" defaultRowHeight="15" x14ac:dyDescent="0.2"/>
  <cols>
    <col min="1" max="1" width="19.6640625" customWidth="1"/>
    <col min="2" max="3" width="11.1640625" customWidth="1"/>
    <col min="4" max="4" width="11.6640625" customWidth="1"/>
    <col min="5" max="5" width="36.1640625" customWidth="1"/>
  </cols>
  <sheetData>
    <row r="1" spans="1:5" ht="93" customHeight="1" thickBot="1" x14ac:dyDescent="0.35">
      <c r="A1" s="102" t="s">
        <v>32</v>
      </c>
      <c r="B1" s="103"/>
      <c r="C1" s="103"/>
      <c r="D1" s="103"/>
      <c r="E1" s="104"/>
    </row>
    <row r="2" spans="1:5" ht="32" customHeight="1" thickBot="1" x14ac:dyDescent="0.3">
      <c r="A2" s="99" t="s">
        <v>33</v>
      </c>
      <c r="B2" s="100"/>
      <c r="C2" s="100"/>
      <c r="D2" s="100"/>
      <c r="E2" s="101"/>
    </row>
    <row r="3" spans="1:5" ht="69" customHeight="1" thickBot="1" x14ac:dyDescent="0.25">
      <c r="A3" s="105" t="s">
        <v>34</v>
      </c>
      <c r="B3" s="106"/>
      <c r="C3" s="106"/>
      <c r="D3" s="106"/>
      <c r="E3" s="107"/>
    </row>
    <row r="6" spans="1:5" ht="43" customHeight="1" x14ac:dyDescent="0.25">
      <c r="A6" s="70" t="s">
        <v>24</v>
      </c>
      <c r="B6" s="65"/>
      <c r="C6" s="65"/>
      <c r="D6" s="65"/>
      <c r="E6" s="65"/>
    </row>
    <row r="7" spans="1:5" ht="33" customHeight="1" x14ac:dyDescent="0.2">
      <c r="A7" s="19" t="s">
        <v>35</v>
      </c>
      <c r="B7" s="19" t="s">
        <v>8</v>
      </c>
      <c r="C7" s="19" t="s">
        <v>10</v>
      </c>
      <c r="D7" s="19" t="s">
        <v>12</v>
      </c>
      <c r="E7" s="20" t="s">
        <v>36</v>
      </c>
    </row>
    <row r="8" spans="1:5" ht="16" x14ac:dyDescent="0.2">
      <c r="A8" s="21" t="s">
        <v>37</v>
      </c>
      <c r="B8" s="22"/>
      <c r="C8" s="22"/>
      <c r="D8" s="22"/>
      <c r="E8" s="23">
        <f t="shared" ref="E8:E14" si="0">SUM(B8:D8)</f>
        <v>0</v>
      </c>
    </row>
    <row r="9" spans="1:5" ht="16" x14ac:dyDescent="0.2">
      <c r="A9" s="24" t="s">
        <v>38</v>
      </c>
      <c r="B9" s="22"/>
      <c r="C9" s="22"/>
      <c r="D9" s="22"/>
      <c r="E9" s="23">
        <f t="shared" si="0"/>
        <v>0</v>
      </c>
    </row>
    <row r="10" spans="1:5" ht="16" x14ac:dyDescent="0.2">
      <c r="A10" s="21" t="s">
        <v>39</v>
      </c>
      <c r="B10" s="22"/>
      <c r="C10" s="22"/>
      <c r="D10" s="22"/>
      <c r="E10" s="23">
        <f t="shared" si="0"/>
        <v>0</v>
      </c>
    </row>
    <row r="11" spans="1:5" ht="16" x14ac:dyDescent="0.2">
      <c r="A11" s="24" t="s">
        <v>40</v>
      </c>
      <c r="B11" s="22"/>
      <c r="C11" s="22"/>
      <c r="D11" s="22"/>
      <c r="E11" s="23">
        <f t="shared" si="0"/>
        <v>0</v>
      </c>
    </row>
    <row r="12" spans="1:5" ht="16" x14ac:dyDescent="0.2">
      <c r="A12" s="21" t="s">
        <v>41</v>
      </c>
      <c r="B12" s="22"/>
      <c r="C12" s="22"/>
      <c r="D12" s="22"/>
      <c r="E12" s="23">
        <f t="shared" si="0"/>
        <v>0</v>
      </c>
    </row>
    <row r="13" spans="1:5" ht="16" x14ac:dyDescent="0.2">
      <c r="A13" s="24" t="s">
        <v>42</v>
      </c>
      <c r="B13" s="22"/>
      <c r="C13" s="22"/>
      <c r="D13" s="22"/>
      <c r="E13" s="23">
        <f t="shared" si="0"/>
        <v>0</v>
      </c>
    </row>
    <row r="14" spans="1:5" ht="16" x14ac:dyDescent="0.2">
      <c r="A14" s="21" t="s">
        <v>43</v>
      </c>
      <c r="B14" s="22"/>
      <c r="C14" s="22"/>
      <c r="D14" s="22"/>
      <c r="E14" s="23">
        <f t="shared" si="0"/>
        <v>0</v>
      </c>
    </row>
    <row r="16" spans="1:5" ht="45" customHeight="1" x14ac:dyDescent="0.25">
      <c r="A16" s="70" t="s">
        <v>27</v>
      </c>
      <c r="B16" s="65"/>
      <c r="C16" s="65"/>
      <c r="D16" s="65"/>
      <c r="E16" s="65"/>
    </row>
    <row r="17" spans="1:5" ht="31" customHeight="1" x14ac:dyDescent="0.2">
      <c r="A17" s="19" t="s">
        <v>35</v>
      </c>
      <c r="B17" s="19" t="s">
        <v>8</v>
      </c>
      <c r="C17" s="19" t="s">
        <v>10</v>
      </c>
      <c r="D17" s="19" t="s">
        <v>12</v>
      </c>
      <c r="E17" s="20" t="s">
        <v>36</v>
      </c>
    </row>
    <row r="18" spans="1:5" ht="16" x14ac:dyDescent="0.2">
      <c r="A18" s="21" t="s">
        <v>37</v>
      </c>
      <c r="B18" s="22">
        <v>3</v>
      </c>
      <c r="C18" s="22">
        <v>3</v>
      </c>
      <c r="D18" s="22">
        <v>4</v>
      </c>
      <c r="E18" s="23">
        <f t="shared" ref="E18:E24" si="1">SUM(B18:D18)</f>
        <v>10</v>
      </c>
    </row>
    <row r="19" spans="1:5" ht="16" x14ac:dyDescent="0.2">
      <c r="A19" s="24" t="s">
        <v>38</v>
      </c>
      <c r="B19" s="22"/>
      <c r="C19" s="22"/>
      <c r="D19" s="22"/>
      <c r="E19" s="23">
        <f t="shared" si="1"/>
        <v>0</v>
      </c>
    </row>
    <row r="20" spans="1:5" ht="16" x14ac:dyDescent="0.2">
      <c r="A20" s="21" t="s">
        <v>39</v>
      </c>
      <c r="B20" s="22"/>
      <c r="C20" s="22"/>
      <c r="D20" s="22"/>
      <c r="E20" s="23">
        <f t="shared" si="1"/>
        <v>0</v>
      </c>
    </row>
    <row r="21" spans="1:5" ht="16" x14ac:dyDescent="0.2">
      <c r="A21" s="24" t="s">
        <v>40</v>
      </c>
      <c r="B21" s="22"/>
      <c r="C21" s="22"/>
      <c r="D21" s="22"/>
      <c r="E21" s="23">
        <f t="shared" si="1"/>
        <v>0</v>
      </c>
    </row>
    <row r="22" spans="1:5" ht="16" x14ac:dyDescent="0.2">
      <c r="A22" s="21" t="s">
        <v>41</v>
      </c>
      <c r="B22" s="22"/>
      <c r="C22" s="22"/>
      <c r="D22" s="22"/>
      <c r="E22" s="23">
        <f t="shared" si="1"/>
        <v>0</v>
      </c>
    </row>
    <row r="23" spans="1:5" ht="16" x14ac:dyDescent="0.2">
      <c r="A23" s="24" t="s">
        <v>42</v>
      </c>
      <c r="B23" s="22"/>
      <c r="C23" s="22"/>
      <c r="D23" s="22"/>
      <c r="E23" s="23">
        <f t="shared" si="1"/>
        <v>0</v>
      </c>
    </row>
    <row r="24" spans="1:5" ht="16" x14ac:dyDescent="0.2">
      <c r="A24" s="21" t="s">
        <v>43</v>
      </c>
      <c r="B24" s="22"/>
      <c r="C24" s="22"/>
      <c r="D24" s="22"/>
      <c r="E24" s="23">
        <f t="shared" si="1"/>
        <v>0</v>
      </c>
    </row>
    <row r="26" spans="1:5" ht="47" customHeight="1" x14ac:dyDescent="0.25">
      <c r="A26" s="70" t="s">
        <v>28</v>
      </c>
      <c r="B26" s="65"/>
      <c r="C26" s="65"/>
      <c r="D26" s="65"/>
      <c r="E26" s="65"/>
    </row>
    <row r="27" spans="1:5" ht="31" customHeight="1" x14ac:dyDescent="0.2">
      <c r="A27" s="19" t="s">
        <v>35</v>
      </c>
      <c r="B27" s="19" t="s">
        <v>8</v>
      </c>
      <c r="C27" s="19" t="s">
        <v>10</v>
      </c>
      <c r="D27" s="19" t="s">
        <v>12</v>
      </c>
      <c r="E27" s="20" t="s">
        <v>36</v>
      </c>
    </row>
    <row r="28" spans="1:5" ht="16" x14ac:dyDescent="0.2">
      <c r="A28" s="21" t="s">
        <v>37</v>
      </c>
      <c r="B28" s="22"/>
      <c r="C28" s="22"/>
      <c r="D28" s="22"/>
      <c r="E28" s="23">
        <f t="shared" ref="E28:E34" si="2">SUM(B28:D28)</f>
        <v>0</v>
      </c>
    </row>
    <row r="29" spans="1:5" ht="16" x14ac:dyDescent="0.2">
      <c r="A29" s="24" t="s">
        <v>38</v>
      </c>
      <c r="B29" s="22"/>
      <c r="C29" s="22"/>
      <c r="D29" s="22"/>
      <c r="E29" s="23">
        <f t="shared" si="2"/>
        <v>0</v>
      </c>
    </row>
    <row r="30" spans="1:5" ht="16" x14ac:dyDescent="0.2">
      <c r="A30" s="21" t="s">
        <v>39</v>
      </c>
      <c r="B30" s="22"/>
      <c r="C30" s="22"/>
      <c r="D30" s="22"/>
      <c r="E30" s="23">
        <f t="shared" si="2"/>
        <v>0</v>
      </c>
    </row>
    <row r="31" spans="1:5" ht="16" x14ac:dyDescent="0.2">
      <c r="A31" s="24" t="s">
        <v>40</v>
      </c>
      <c r="B31" s="22"/>
      <c r="C31" s="22"/>
      <c r="D31" s="22"/>
      <c r="E31" s="23">
        <f t="shared" si="2"/>
        <v>0</v>
      </c>
    </row>
    <row r="32" spans="1:5" ht="16" x14ac:dyDescent="0.2">
      <c r="A32" s="21" t="s">
        <v>41</v>
      </c>
      <c r="B32" s="22"/>
      <c r="C32" s="22"/>
      <c r="D32" s="22"/>
      <c r="E32" s="23">
        <f t="shared" si="2"/>
        <v>0</v>
      </c>
    </row>
    <row r="33" spans="1:5" ht="16" x14ac:dyDescent="0.2">
      <c r="A33" s="24" t="s">
        <v>42</v>
      </c>
      <c r="B33" s="22"/>
      <c r="C33" s="22"/>
      <c r="D33" s="22"/>
      <c r="E33" s="23">
        <f t="shared" si="2"/>
        <v>0</v>
      </c>
    </row>
    <row r="34" spans="1:5" ht="16" x14ac:dyDescent="0.2">
      <c r="A34" s="21" t="s">
        <v>43</v>
      </c>
      <c r="B34" s="22"/>
      <c r="C34" s="22"/>
      <c r="D34" s="22"/>
      <c r="E34" s="23">
        <f t="shared" si="2"/>
        <v>0</v>
      </c>
    </row>
    <row r="36" spans="1:5" ht="44" customHeight="1" x14ac:dyDescent="0.25">
      <c r="A36" s="70" t="s">
        <v>29</v>
      </c>
      <c r="B36" s="65"/>
      <c r="C36" s="65"/>
      <c r="D36" s="65"/>
      <c r="E36" s="65"/>
    </row>
    <row r="37" spans="1:5" ht="34" customHeight="1" x14ac:dyDescent="0.2">
      <c r="A37" s="19" t="s">
        <v>35</v>
      </c>
      <c r="B37" s="19" t="s">
        <v>8</v>
      </c>
      <c r="C37" s="19" t="s">
        <v>10</v>
      </c>
      <c r="D37" s="19" t="s">
        <v>12</v>
      </c>
      <c r="E37" s="20" t="s">
        <v>36</v>
      </c>
    </row>
    <row r="38" spans="1:5" ht="16" x14ac:dyDescent="0.2">
      <c r="A38" s="21" t="s">
        <v>37</v>
      </c>
      <c r="B38" s="22"/>
      <c r="C38" s="22"/>
      <c r="D38" s="22"/>
      <c r="E38" s="23">
        <f t="shared" ref="E38:E44" si="3">SUM(B38:D38)</f>
        <v>0</v>
      </c>
    </row>
    <row r="39" spans="1:5" ht="16" x14ac:dyDescent="0.2">
      <c r="A39" s="24" t="s">
        <v>38</v>
      </c>
      <c r="B39" s="22"/>
      <c r="C39" s="22"/>
      <c r="D39" s="22"/>
      <c r="E39" s="23">
        <f t="shared" si="3"/>
        <v>0</v>
      </c>
    </row>
    <row r="40" spans="1:5" ht="16" x14ac:dyDescent="0.2">
      <c r="A40" s="21" t="s">
        <v>39</v>
      </c>
      <c r="B40" s="22"/>
      <c r="C40" s="22"/>
      <c r="D40" s="22"/>
      <c r="E40" s="23">
        <f t="shared" si="3"/>
        <v>0</v>
      </c>
    </row>
    <row r="41" spans="1:5" ht="16" x14ac:dyDescent="0.2">
      <c r="A41" s="24" t="s">
        <v>40</v>
      </c>
      <c r="B41" s="22"/>
      <c r="C41" s="22"/>
      <c r="D41" s="22"/>
      <c r="E41" s="23">
        <f t="shared" si="3"/>
        <v>0</v>
      </c>
    </row>
    <row r="42" spans="1:5" ht="16" x14ac:dyDescent="0.2">
      <c r="A42" s="21" t="s">
        <v>41</v>
      </c>
      <c r="B42" s="22"/>
      <c r="C42" s="22"/>
      <c r="D42" s="22"/>
      <c r="E42" s="23">
        <f t="shared" si="3"/>
        <v>0</v>
      </c>
    </row>
    <row r="43" spans="1:5" ht="16" x14ac:dyDescent="0.2">
      <c r="A43" s="24" t="s">
        <v>42</v>
      </c>
      <c r="B43" s="22"/>
      <c r="C43" s="22"/>
      <c r="D43" s="22"/>
      <c r="E43" s="23">
        <f t="shared" si="3"/>
        <v>0</v>
      </c>
    </row>
    <row r="44" spans="1:5" ht="16" x14ac:dyDescent="0.2">
      <c r="A44" s="21" t="s">
        <v>43</v>
      </c>
      <c r="B44" s="22"/>
      <c r="C44" s="22"/>
      <c r="D44" s="22"/>
      <c r="E44" s="23">
        <f t="shared" si="3"/>
        <v>0</v>
      </c>
    </row>
    <row r="46" spans="1:5" x14ac:dyDescent="0.2">
      <c r="A46" s="25"/>
      <c r="B46" s="25"/>
      <c r="C46" s="25"/>
      <c r="D46" s="25"/>
      <c r="E46" s="25"/>
    </row>
  </sheetData>
  <mergeCells count="7">
    <mergeCell ref="A26:E26"/>
    <mergeCell ref="A2:E2"/>
    <mergeCell ref="A16:E16"/>
    <mergeCell ref="A1:E1"/>
    <mergeCell ref="A36:E36"/>
    <mergeCell ref="A6:E6"/>
    <mergeCell ref="A3:E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5"/>
  <sheetViews>
    <sheetView showGridLines="0" workbookViewId="0">
      <selection activeCell="M6" sqref="M6"/>
    </sheetView>
  </sheetViews>
  <sheetFormatPr baseColWidth="10" defaultColWidth="8.83203125" defaultRowHeight="15" x14ac:dyDescent="0.2"/>
  <cols>
    <col min="1" max="1" width="18.83203125" customWidth="1"/>
    <col min="2" max="2" width="22.1640625" customWidth="1"/>
    <col min="3" max="3" width="24" customWidth="1"/>
    <col min="4" max="4" width="12.6640625" customWidth="1"/>
    <col min="5" max="5" width="11.5" customWidth="1"/>
    <col min="6" max="6" width="10.83203125" customWidth="1"/>
    <col min="7" max="7" width="16.6640625" customWidth="1"/>
    <col min="8" max="8" width="16.1640625" customWidth="1"/>
    <col min="9" max="9" width="49.5" customWidth="1"/>
  </cols>
  <sheetData>
    <row r="1" spans="1:9" ht="89" customHeight="1" x14ac:dyDescent="0.3">
      <c r="A1" s="108" t="s">
        <v>44</v>
      </c>
      <c r="B1" s="109"/>
      <c r="C1" s="109"/>
      <c r="D1" s="109"/>
      <c r="E1" s="109"/>
      <c r="F1" s="109"/>
      <c r="G1" s="109"/>
      <c r="H1" s="109"/>
      <c r="I1" s="109"/>
    </row>
    <row r="2" spans="1:9" ht="19" x14ac:dyDescent="0.25">
      <c r="A2" s="110" t="s">
        <v>45</v>
      </c>
      <c r="B2" s="111"/>
      <c r="C2" s="111"/>
      <c r="D2" s="111"/>
      <c r="E2" s="111"/>
      <c r="F2" s="111"/>
      <c r="G2" s="111"/>
      <c r="H2" s="111"/>
      <c r="I2" s="111"/>
    </row>
    <row r="4" spans="1:9" ht="47" customHeight="1" x14ac:dyDescent="0.2">
      <c r="A4" s="20" t="s">
        <v>35</v>
      </c>
      <c r="B4" s="20" t="s">
        <v>46</v>
      </c>
      <c r="C4" s="20" t="s">
        <v>47</v>
      </c>
      <c r="D4" s="20" t="s">
        <v>48</v>
      </c>
      <c r="E4" s="20" t="s">
        <v>49</v>
      </c>
      <c r="F4" s="20" t="s">
        <v>7</v>
      </c>
      <c r="G4" s="20" t="s">
        <v>50</v>
      </c>
      <c r="H4" s="20" t="s">
        <v>51</v>
      </c>
      <c r="I4" s="20" t="s">
        <v>52</v>
      </c>
    </row>
    <row r="5" spans="1:9" ht="18" x14ac:dyDescent="0.2">
      <c r="A5" s="26"/>
      <c r="B5" s="15"/>
      <c r="C5" s="15"/>
      <c r="D5" s="16"/>
      <c r="E5" s="16"/>
      <c r="F5" s="27" t="str">
        <f t="shared" ref="F5:F18" si="0">IF(AND(ISNUMBER(D5),ISNUMBER(E5)),IF(E5&gt;D5,(E5-D5)*24,(E5+1-D5)*24),"")</f>
        <v/>
      </c>
      <c r="G5" s="28"/>
      <c r="H5" s="27" t="str">
        <f t="shared" ref="H5:H18" si="1">IF(AND(ISNUMBER(F5),ISNUMBER(G5)),F5*G5,"")</f>
        <v/>
      </c>
      <c r="I5" s="15"/>
    </row>
    <row r="6" spans="1:9" ht="18" x14ac:dyDescent="0.2">
      <c r="A6" s="26"/>
      <c r="B6" s="15"/>
      <c r="C6" s="15"/>
      <c r="D6" s="16"/>
      <c r="E6" s="16"/>
      <c r="F6" s="27" t="str">
        <f t="shared" si="0"/>
        <v/>
      </c>
      <c r="G6" s="28"/>
      <c r="H6" s="27" t="str">
        <f t="shared" si="1"/>
        <v/>
      </c>
      <c r="I6" s="15"/>
    </row>
    <row r="7" spans="1:9" ht="18" x14ac:dyDescent="0.2">
      <c r="A7" s="26"/>
      <c r="B7" s="15"/>
      <c r="C7" s="15"/>
      <c r="D7" s="16"/>
      <c r="E7" s="16"/>
      <c r="F7" s="27" t="str">
        <f t="shared" si="0"/>
        <v/>
      </c>
      <c r="G7" s="28"/>
      <c r="H7" s="27" t="str">
        <f t="shared" si="1"/>
        <v/>
      </c>
      <c r="I7" s="15"/>
    </row>
    <row r="8" spans="1:9" ht="18" x14ac:dyDescent="0.2">
      <c r="A8" s="26"/>
      <c r="B8" s="15"/>
      <c r="C8" s="15"/>
      <c r="D8" s="16"/>
      <c r="E8" s="16"/>
      <c r="F8" s="27" t="str">
        <f t="shared" si="0"/>
        <v/>
      </c>
      <c r="G8" s="28"/>
      <c r="H8" s="27" t="str">
        <f t="shared" si="1"/>
        <v/>
      </c>
      <c r="I8" s="15"/>
    </row>
    <row r="9" spans="1:9" ht="18" x14ac:dyDescent="0.2">
      <c r="A9" s="26"/>
      <c r="B9" s="15"/>
      <c r="C9" s="15"/>
      <c r="D9" s="16"/>
      <c r="E9" s="16"/>
      <c r="F9" s="27" t="str">
        <f t="shared" si="0"/>
        <v/>
      </c>
      <c r="G9" s="28"/>
      <c r="H9" s="27" t="str">
        <f t="shared" si="1"/>
        <v/>
      </c>
      <c r="I9" s="15"/>
    </row>
    <row r="10" spans="1:9" ht="18" x14ac:dyDescent="0.2">
      <c r="A10" s="26"/>
      <c r="B10" s="15"/>
      <c r="C10" s="15"/>
      <c r="D10" s="16"/>
      <c r="E10" s="16"/>
      <c r="F10" s="27" t="str">
        <f t="shared" si="0"/>
        <v/>
      </c>
      <c r="G10" s="28"/>
      <c r="H10" s="27" t="str">
        <f t="shared" si="1"/>
        <v/>
      </c>
      <c r="I10" s="15"/>
    </row>
    <row r="11" spans="1:9" ht="18" x14ac:dyDescent="0.2">
      <c r="A11" s="26"/>
      <c r="B11" s="15"/>
      <c r="C11" s="15"/>
      <c r="D11" s="16"/>
      <c r="E11" s="16"/>
      <c r="F11" s="27" t="str">
        <f t="shared" si="0"/>
        <v/>
      </c>
      <c r="G11" s="28"/>
      <c r="H11" s="27" t="str">
        <f t="shared" si="1"/>
        <v/>
      </c>
      <c r="I11" s="15"/>
    </row>
    <row r="12" spans="1:9" ht="18" x14ac:dyDescent="0.2">
      <c r="A12" s="26"/>
      <c r="B12" s="15"/>
      <c r="C12" s="15"/>
      <c r="D12" s="16"/>
      <c r="E12" s="16"/>
      <c r="F12" s="27" t="str">
        <f t="shared" si="0"/>
        <v/>
      </c>
      <c r="G12" s="28"/>
      <c r="H12" s="27" t="str">
        <f t="shared" si="1"/>
        <v/>
      </c>
      <c r="I12" s="15"/>
    </row>
    <row r="13" spans="1:9" ht="18" x14ac:dyDescent="0.2">
      <c r="A13" s="26"/>
      <c r="B13" s="15"/>
      <c r="C13" s="15"/>
      <c r="D13" s="16"/>
      <c r="E13" s="16"/>
      <c r="F13" s="27" t="str">
        <f t="shared" si="0"/>
        <v/>
      </c>
      <c r="G13" s="28"/>
      <c r="H13" s="27" t="str">
        <f t="shared" si="1"/>
        <v/>
      </c>
      <c r="I13" s="15"/>
    </row>
    <row r="14" spans="1:9" ht="18" x14ac:dyDescent="0.2">
      <c r="A14" s="26"/>
      <c r="B14" s="15"/>
      <c r="C14" s="15"/>
      <c r="D14" s="16"/>
      <c r="E14" s="16"/>
      <c r="F14" s="27" t="str">
        <f t="shared" si="0"/>
        <v/>
      </c>
      <c r="G14" s="28"/>
      <c r="H14" s="27" t="str">
        <f t="shared" si="1"/>
        <v/>
      </c>
      <c r="I14" s="15"/>
    </row>
    <row r="15" spans="1:9" ht="18" x14ac:dyDescent="0.2">
      <c r="A15" s="26"/>
      <c r="B15" s="15"/>
      <c r="C15" s="15"/>
      <c r="D15" s="16"/>
      <c r="E15" s="16"/>
      <c r="F15" s="27" t="str">
        <f t="shared" si="0"/>
        <v/>
      </c>
      <c r="G15" s="28"/>
      <c r="H15" s="27" t="str">
        <f t="shared" si="1"/>
        <v/>
      </c>
      <c r="I15" s="15"/>
    </row>
    <row r="16" spans="1:9" ht="18" x14ac:dyDescent="0.2">
      <c r="A16" s="26"/>
      <c r="B16" s="15"/>
      <c r="C16" s="15"/>
      <c r="D16" s="16"/>
      <c r="E16" s="16"/>
      <c r="F16" s="27" t="str">
        <f t="shared" si="0"/>
        <v/>
      </c>
      <c r="G16" s="28"/>
      <c r="H16" s="27" t="str">
        <f t="shared" si="1"/>
        <v/>
      </c>
      <c r="I16" s="15"/>
    </row>
    <row r="17" spans="1:9" ht="18" x14ac:dyDescent="0.2">
      <c r="A17" s="26"/>
      <c r="B17" s="15"/>
      <c r="C17" s="15"/>
      <c r="D17" s="16"/>
      <c r="E17" s="16"/>
      <c r="F17" s="27" t="str">
        <f t="shared" si="0"/>
        <v/>
      </c>
      <c r="G17" s="28"/>
      <c r="H17" s="27" t="str">
        <f t="shared" si="1"/>
        <v/>
      </c>
      <c r="I17" s="15"/>
    </row>
    <row r="18" spans="1:9" ht="18" x14ac:dyDescent="0.2">
      <c r="A18" s="26"/>
      <c r="B18" s="15"/>
      <c r="C18" s="15"/>
      <c r="D18" s="16"/>
      <c r="E18" s="16"/>
      <c r="F18" s="27" t="str">
        <f t="shared" si="0"/>
        <v/>
      </c>
      <c r="G18" s="28"/>
      <c r="H18" s="27" t="str">
        <f t="shared" si="1"/>
        <v/>
      </c>
      <c r="I18" s="15"/>
    </row>
    <row r="19" spans="1:9" ht="39" customHeight="1" x14ac:dyDescent="0.2">
      <c r="A19" s="29" t="s">
        <v>53</v>
      </c>
      <c r="B19" s="1"/>
      <c r="C19" s="1"/>
      <c r="D19" s="1"/>
      <c r="E19" s="1"/>
      <c r="F19" s="1"/>
      <c r="G19" s="30">
        <f>SUM(G5:G18)</f>
        <v>0</v>
      </c>
      <c r="H19" s="31">
        <f>SUM(H5:H18)</f>
        <v>0</v>
      </c>
      <c r="I19" s="1"/>
    </row>
    <row r="21" spans="1:9" x14ac:dyDescent="0.2">
      <c r="A21" s="25"/>
      <c r="B21" s="25"/>
      <c r="C21" s="25"/>
      <c r="D21" s="25"/>
      <c r="E21" s="25"/>
      <c r="F21" s="25"/>
      <c r="G21" s="25"/>
      <c r="H21" s="25"/>
      <c r="I21" s="25"/>
    </row>
    <row r="22" spans="1:9" x14ac:dyDescent="0.2">
      <c r="A22" s="25"/>
      <c r="B22" s="25"/>
      <c r="C22" s="25"/>
      <c r="D22" s="25"/>
      <c r="E22" s="25"/>
      <c r="F22" s="25"/>
      <c r="G22" s="25"/>
      <c r="H22" s="25"/>
      <c r="I22" s="25"/>
    </row>
    <row r="23" spans="1:9" x14ac:dyDescent="0.2">
      <c r="A23" s="25"/>
      <c r="B23" s="25"/>
      <c r="C23" s="25"/>
      <c r="D23" s="25"/>
      <c r="E23" s="25"/>
      <c r="F23" s="25"/>
      <c r="G23" s="25"/>
      <c r="H23" s="25"/>
      <c r="I23" s="25"/>
    </row>
    <row r="24" spans="1:9" x14ac:dyDescent="0.2">
      <c r="A24" s="25"/>
      <c r="B24" s="25"/>
      <c r="C24" s="25"/>
      <c r="D24" s="25"/>
      <c r="E24" s="25"/>
      <c r="F24" s="25"/>
      <c r="G24" s="25"/>
      <c r="H24" s="25"/>
      <c r="I24" s="25"/>
    </row>
    <row r="25" spans="1:9" x14ac:dyDescent="0.2">
      <c r="A25" s="25"/>
      <c r="B25" s="25"/>
      <c r="C25" s="25"/>
      <c r="D25" s="25"/>
      <c r="E25" s="25"/>
      <c r="F25" s="25"/>
      <c r="G25" s="25"/>
      <c r="H25" s="25"/>
      <c r="I25" s="25"/>
    </row>
  </sheetData>
  <mergeCells count="2">
    <mergeCell ref="A1:I1"/>
    <mergeCell ref="A2:I2"/>
  </mergeCells>
  <dataValidations count="1">
    <dataValidation type="list" allowBlank="1" sqref="B5:B18" xr:uid="{00000000-0002-0000-0200-000000000000}">
      <formula1>"Bachero,Ayudante,Cocinero,Expo,Producción"</formula1>
    </dataValidation>
  </dataValidations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22" customHeight="1" x14ac:dyDescent="0.2">
      <c r="A1" s="2" t="s">
        <v>54</v>
      </c>
    </row>
    <row r="3" spans="1:1" ht="28" customHeight="1" x14ac:dyDescent="0.2">
      <c r="A3" s="3" t="s">
        <v>55</v>
      </c>
    </row>
    <row r="4" spans="1:1" ht="28" customHeight="1" x14ac:dyDescent="0.2">
      <c r="A4" s="3" t="s">
        <v>56</v>
      </c>
    </row>
    <row r="5" spans="1:1" ht="28" customHeight="1" x14ac:dyDescent="0.2">
      <c r="A5" s="3" t="s">
        <v>57</v>
      </c>
    </row>
    <row r="6" spans="1:1" ht="28" customHeight="1" x14ac:dyDescent="0.2">
      <c r="A6" s="3" t="s">
        <v>58</v>
      </c>
    </row>
    <row r="7" spans="1:1" ht="28" customHeight="1" x14ac:dyDescent="0.2">
      <c r="A7" s="3" t="s">
        <v>59</v>
      </c>
    </row>
    <row r="8" spans="1:1" ht="28" customHeight="1" x14ac:dyDescent="0.2">
      <c r="A8" s="3" t="s">
        <v>60</v>
      </c>
    </row>
    <row r="9" spans="1:1" ht="28" customHeight="1" x14ac:dyDescent="0.2">
      <c r="A9" s="3" t="s">
        <v>61</v>
      </c>
    </row>
    <row r="10" spans="1:1" ht="28" customHeight="1" x14ac:dyDescent="0.2">
      <c r="A10" s="3" t="s">
        <v>62</v>
      </c>
    </row>
    <row r="11" spans="1:1" ht="28" customHeight="1" x14ac:dyDescent="0.2">
      <c r="A11" s="3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Organigrama Cocina</vt:lpstr>
      <vt:lpstr>Dotación</vt:lpstr>
      <vt:lpstr>Producción</vt:lpstr>
      <vt:lpstr>Instructivo</vt:lpstr>
      <vt:lpstr>'Organigrama Cocina'!Área_de_impresión</vt:lpstr>
      <vt:lpstr>'Organigrama Cocina'!Títulos_a_imprimir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Giménez</cp:lastModifiedBy>
  <dcterms:created xsi:type="dcterms:W3CDTF">2026-06-13T16:49:35Z</dcterms:created>
  <dcterms:modified xsi:type="dcterms:W3CDTF">2026-07-06T15:50:04Z</dcterms:modified>
</cp:coreProperties>
</file>