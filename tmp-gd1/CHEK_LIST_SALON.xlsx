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gimeto/Desktop/"/>
    </mc:Choice>
  </mc:AlternateContent>
  <xr:revisionPtr revIDLastSave="0" documentId="13_ncr:1_{6F280AD2-E536-DC44-8DC6-DCF1889E7215}" xr6:coauthVersionLast="47" xr6:coauthVersionMax="47" xr10:uidLastSave="{00000000-0000-0000-0000-000000000000}"/>
  <bookViews>
    <workbookView xWindow="0" yWindow="740" windowWidth="30240" windowHeight="18900" tabRatio="500" xr2:uid="{00000000-000D-0000-FFFF-FFFF00000000}"/>
  </bookViews>
  <sheets>
    <sheet name="Diagnóstico Salón" sheetId="1" r:id="rId1"/>
  </sheets>
  <definedNames>
    <definedName name="_xlnm.Print_Area" localSheetId="0">'Diagnóstico Salón'!$A$1:$G$110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3" i="1" l="1"/>
  <c r="F21" i="1" s="1"/>
  <c r="E102" i="1"/>
  <c r="E101" i="1"/>
  <c r="E100" i="1"/>
  <c r="E99" i="1"/>
  <c r="E98" i="1"/>
  <c r="E97" i="1"/>
  <c r="E96" i="1"/>
  <c r="E92" i="1"/>
  <c r="E91" i="1"/>
  <c r="E93" i="1" s="1"/>
  <c r="F20" i="1" s="1"/>
  <c r="E90" i="1"/>
  <c r="E89" i="1"/>
  <c r="E88" i="1"/>
  <c r="E87" i="1"/>
  <c r="E86" i="1"/>
  <c r="E82" i="1"/>
  <c r="E81" i="1"/>
  <c r="E80" i="1"/>
  <c r="E79" i="1"/>
  <c r="E83" i="1" s="1"/>
  <c r="F19" i="1" s="1"/>
  <c r="E78" i="1"/>
  <c r="E77" i="1"/>
  <c r="E76" i="1"/>
  <c r="E72" i="1"/>
  <c r="E71" i="1"/>
  <c r="E70" i="1"/>
  <c r="E69" i="1"/>
  <c r="E68" i="1"/>
  <c r="E73" i="1" s="1"/>
  <c r="F18" i="1" s="1"/>
  <c r="E65" i="1"/>
  <c r="F17" i="1" s="1"/>
  <c r="E64" i="1"/>
  <c r="E63" i="1"/>
  <c r="E62" i="1"/>
  <c r="E61" i="1"/>
  <c r="E60" i="1"/>
  <c r="E56" i="1"/>
  <c r="E55" i="1"/>
  <c r="E54" i="1"/>
  <c r="E53" i="1"/>
  <c r="E57" i="1" s="1"/>
  <c r="F16" i="1" s="1"/>
  <c r="E52" i="1"/>
  <c r="E51" i="1"/>
  <c r="E50" i="1"/>
  <c r="E49" i="1"/>
  <c r="E45" i="1"/>
  <c r="E44" i="1"/>
  <c r="E43" i="1"/>
  <c r="E42" i="1"/>
  <c r="E41" i="1"/>
  <c r="E46" i="1" s="1"/>
  <c r="F15" i="1" s="1"/>
  <c r="E40" i="1"/>
  <c r="E39" i="1"/>
  <c r="E38" i="1"/>
  <c r="E34" i="1"/>
  <c r="E33" i="1"/>
  <c r="E32" i="1"/>
  <c r="E31" i="1"/>
  <c r="E30" i="1"/>
  <c r="E29" i="1"/>
  <c r="E28" i="1"/>
  <c r="E27" i="1"/>
  <c r="E26" i="1"/>
  <c r="E25" i="1"/>
  <c r="C10" i="1" l="1"/>
  <c r="D11" i="1" s="1"/>
  <c r="E35" i="1"/>
  <c r="F14" i="1" s="1"/>
</calcChain>
</file>

<file path=xl/sharedStrings.xml><?xml version="1.0" encoding="utf-8"?>
<sst xmlns="http://schemas.openxmlformats.org/spreadsheetml/2006/main" count="133" uniqueCount="96">
  <si>
    <t>GPS GASTRONÓMICO   —   Diagnóstico de Mise en Place · Salón</t>
  </si>
  <si>
    <t>Protocolo de chequeo para la preparación del salón según normas de hospitalidad y buen servicio</t>
  </si>
  <si>
    <t>Local:</t>
  </si>
  <si>
    <t>Turno:</t>
  </si>
  <si>
    <t>Evaluador:</t>
  </si>
  <si>
    <t>Fecha:</t>
  </si>
  <si>
    <t>RESULTADO DEL DIAGNÓSTICO</t>
  </si>
  <si>
    <t>PUNTAJE GENERAL</t>
  </si>
  <si>
    <t>ESTADO</t>
  </si>
  <si>
    <t>ÁREA</t>
  </si>
  <si>
    <t>CUMPLIMIENTO</t>
  </si>
  <si>
    <t>A. MONTAJE Y MESAS</t>
  </si>
  <si>
    <t>B. ÁREA DE MESEROS / ESTACIÓN DE SERVICIO</t>
  </si>
  <si>
    <t>C. BAÑOS</t>
  </si>
  <si>
    <t>D. ILUMINACIÓN</t>
  </si>
  <si>
    <t>E. MÚSICA Y AMBIENTE SONORO</t>
  </si>
  <si>
    <t>F. ASPECTO PERSONAL DEL MESERO</t>
  </si>
  <si>
    <t>G. SALÓN, AMBIENTACIÓN Y CLIMA</t>
  </si>
  <si>
    <t>H. HOSPITALIDAD Y PROTOCOLO DE SERVICIO</t>
  </si>
  <si>
    <t>PTS</t>
  </si>
  <si>
    <t>OBSERVACIONES</t>
  </si>
  <si>
    <t>Mesas niveladas y estables (no se mueven)</t>
  </si>
  <si>
    <t>Mantelería / individuales limpios, sin manchas ni arrugas</t>
  </si>
  <si>
    <t>Distribución de mesas alineada y con paso de servicio libre</t>
  </si>
  <si>
    <t>Vajilla limpia, sin manchas de agua ni astillas</t>
  </si>
  <si>
    <t>Cubertería pulida y completa según el montaje</t>
  </si>
  <si>
    <t>Cristalería pulida, sin marcas ni roturas</t>
  </si>
  <si>
    <t>Servilletas dobladas de forma uniforme</t>
  </si>
  <si>
    <t>Saleros, pimenteros y aceiteras limpios y llenos</t>
  </si>
  <si>
    <t>Centro de mesa / decoración limpia y en su lugar</t>
  </si>
  <si>
    <t>Cartas / menús limpios, actualizados y sin deterioro</t>
  </si>
  <si>
    <t>Subtotal — Montaje y mesas</t>
  </si>
  <si>
    <t>Cumplimiento:</t>
  </si>
  <si>
    <t>Aparador / estación de servicio surtido y ordenado</t>
  </si>
  <si>
    <t>Cubertería y vajilla de reserva pulida y disponible</t>
  </si>
  <si>
    <t>Mantelería y servilletas de reserva disponibles</t>
  </si>
  <si>
    <t>Bandejas limpias y en su lugar</t>
  </si>
  <si>
    <t>Sistema POS / comandas operativo y con insumos</t>
  </si>
  <si>
    <t>Dispenser de agua y hielo limpio y funcionando</t>
  </si>
  <si>
    <t>Estación de café / bebidas surtida y limpia</t>
  </si>
  <si>
    <t>Basureros de servicio vacíos y limpios</t>
  </si>
  <si>
    <t>Subtotal — Área de meseros / estación de servicio</t>
  </si>
  <si>
    <t>Baños limpios y sin malos olores</t>
  </si>
  <si>
    <t>Inodoros y mingitorios limpios y funcionando</t>
  </si>
  <si>
    <t>Papel higiénico repuesto en todos los cubículos</t>
  </si>
  <si>
    <t>Jabón / dispenser lleno y funcionando</t>
  </si>
  <si>
    <t>Secador de manos o toallas de papel operativos</t>
  </si>
  <si>
    <t>Espejos y grifería limpios</t>
  </si>
  <si>
    <t>Piso seco y limpio</t>
  </si>
  <si>
    <t>Basureros vacíos, ventilación / aroma adecuados</t>
  </si>
  <si>
    <t>Subtotal — Baños</t>
  </si>
  <si>
    <t>Todas las luminarias funcionando (sin lámparas quemadas)</t>
  </si>
  <si>
    <t>Nivel de luz acorde al momento (día / noche)</t>
  </si>
  <si>
    <t>Iluminación ambiental encendida antes de abrir</t>
  </si>
  <si>
    <t>Sin sombras molestas ni deslumbramiento</t>
  </si>
  <si>
    <t>Iluminación de accesos, pasillos y baños operativa</t>
  </si>
  <si>
    <t>Subtotal — Iluminación</t>
  </si>
  <si>
    <t>Música encendida antes de la apertura</t>
  </si>
  <si>
    <t>Volumen adecuado (permite conversación)</t>
  </si>
  <si>
    <t>Playlist acorde al concepto y al horario</t>
  </si>
  <si>
    <t>Equipo de sonido sin fallas ni interferencias</t>
  </si>
  <si>
    <t>Ruidos de cocina / servicio controlados en el salón</t>
  </si>
  <si>
    <t>Subtotal — Música y ambiente sonoro</t>
  </si>
  <si>
    <t>Uniforme completo, limpio y planchado</t>
  </si>
  <si>
    <t>Calzado limpio, cerrado y en buen estado</t>
  </si>
  <si>
    <t>Higiene personal (cabello recogido, uñas cortas y limpias)</t>
  </si>
  <si>
    <t>Sin aromas fuertes (perfume o tabaco)</t>
  </si>
  <si>
    <t>Identificación / credencial visible (si aplica)</t>
  </si>
  <si>
    <t>Manos limpias y presentación prolija</t>
  </si>
  <si>
    <t>Actitud de servicio (sonrisa, postura, disposición)</t>
  </si>
  <si>
    <t>Subtotal — Aspecto personal del mesero</t>
  </si>
  <si>
    <t>Piso del salón limpio y seco</t>
  </si>
  <si>
    <t>Vidrios, ventanas y accesos limpios</t>
  </si>
  <si>
    <t>Climatización / temperatura agradable</t>
  </si>
  <si>
    <t>Entrada y recepción despejadas y limpias</t>
  </si>
  <si>
    <t>Señalética visible (baños, salidas de emergencia)</t>
  </si>
  <si>
    <t>Plantas / decoración en buen estado</t>
  </si>
  <si>
    <t>Sin elementos rotos o fuera de lugar</t>
  </si>
  <si>
    <t>Subtotal — Salón, ambientación y clima</t>
  </si>
  <si>
    <t>Anfitrión / recepción listo para recibir</t>
  </si>
  <si>
    <t>Reservas revisadas y mesas asignadas</t>
  </si>
  <si>
    <t>Briefing de turno realizado (platos del día, faltantes)</t>
  </si>
  <si>
    <t>Protocolo de bienvenida definido y ensayado</t>
  </si>
  <si>
    <t>Secuencia de servicio conocida por el equipo</t>
  </si>
  <si>
    <t>Conocimiento de la carta y sugerencias del día</t>
  </si>
  <si>
    <t>Protocolo de cobro y despedida definido</t>
  </si>
  <si>
    <t>Subtotal — Hospitalidad y protocolo de servicio</t>
  </si>
  <si>
    <t>Escala diagnóstica</t>
  </si>
  <si>
    <t>≥ 90%</t>
  </si>
  <si>
    <t>ÓPTIMO — Servicio de excelencia</t>
  </si>
  <si>
    <t>75 – 89%</t>
  </si>
  <si>
    <t>BUENO — Ajustes menores</t>
  </si>
  <si>
    <t>60 – 74%</t>
  </si>
  <si>
    <t>REGULAR — Corregir observaciones</t>
  </si>
  <si>
    <t>&lt; 60%</t>
  </si>
  <si>
    <t>CRÍTICO — No abrir sin corregir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</si>
</sst>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sz val="10"/>
      <color rgb="FF1A1A1A"/>
      <name val="Arial"/>
      <family val="2"/>
    </font>
    <font>
      <b/>
      <sz val="11"/>
      <color rgb="FF0A2540"/>
      <name val="Arial"/>
      <family val="2"/>
    </font>
    <font>
      <b/>
      <sz val="26"/>
      <color rgb="FF0A2540"/>
      <name val="Arial"/>
      <family val="2"/>
    </font>
    <font>
      <b/>
      <sz val="10"/>
      <color rgb="FF0A2540"/>
      <name val="Arial"/>
      <family val="2"/>
    </font>
    <font>
      <b/>
      <sz val="12"/>
      <color rgb="FF0A2540"/>
      <name val="Arial"/>
      <family val="2"/>
    </font>
    <font>
      <b/>
      <sz val="9"/>
      <color rgb="FFFFFFFF"/>
      <name val="Arial"/>
      <family val="2"/>
    </font>
    <font>
      <sz val="9"/>
      <color rgb="FF1A1A1A"/>
      <name val="Arial"/>
      <family val="2"/>
    </font>
    <font>
      <sz val="9"/>
      <color rgb="FF5A6B7B"/>
      <name val="Arial"/>
      <family val="2"/>
    </font>
    <font>
      <b/>
      <sz val="10"/>
      <color rgb="FF0F8B8D"/>
      <name val="Arial"/>
      <family val="2"/>
    </font>
    <font>
      <b/>
      <sz val="9"/>
      <color rgb="FF5A6B7B"/>
      <name val="Arial"/>
      <family val="2"/>
    </font>
    <font>
      <b/>
      <sz val="11"/>
      <color rgb="FF0F8B8D"/>
      <name val="Arial"/>
      <family val="2"/>
    </font>
    <font>
      <i/>
      <sz val="14"/>
      <color rgb="FF5A6B7B"/>
      <name val="Arial"/>
      <family val="2"/>
    </font>
    <font>
      <sz val="14"/>
      <color theme="1"/>
      <name val="Calibri"/>
      <family val="2"/>
      <charset val="1"/>
    </font>
    <font>
      <b/>
      <sz val="14"/>
      <color rgb="FF0A2540"/>
      <name val="Arial"/>
      <family val="2"/>
    </font>
    <font>
      <sz val="14"/>
      <color rgb="FF1A1A1A"/>
      <name val="Arial"/>
      <family val="2"/>
    </font>
    <font>
      <b/>
      <sz val="18"/>
      <color rgb="FFFFFF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A2540"/>
        <bgColor rgb="FF1A1A1A"/>
      </patternFill>
    </fill>
    <fill>
      <patternFill patternType="solid">
        <fgColor rgb="FFFFF8E1"/>
        <bgColor rgb="FFFCEFCB"/>
      </patternFill>
    </fill>
    <fill>
      <patternFill patternType="solid">
        <fgColor rgb="FF0F8B8D"/>
        <bgColor rgb="FF008080"/>
      </patternFill>
    </fill>
    <fill>
      <patternFill patternType="solid">
        <fgColor rgb="FFDCE1E6"/>
        <bgColor rgb="FFD6ECD2"/>
      </patternFill>
    </fill>
    <fill>
      <patternFill patternType="solid">
        <fgColor rgb="FFEAF2F2"/>
        <bgColor rgb="FFFFF8E1"/>
      </patternFill>
    </fill>
    <fill>
      <patternFill patternType="solid">
        <fgColor rgb="FFD6ECD2"/>
        <bgColor rgb="FFDCE1E6"/>
      </patternFill>
    </fill>
    <fill>
      <patternFill patternType="solid">
        <fgColor rgb="FFFCEFCB"/>
        <bgColor rgb="FFFFF8E1"/>
      </patternFill>
    </fill>
    <fill>
      <patternFill patternType="solid">
        <fgColor rgb="FFF7D7D7"/>
        <bgColor rgb="FFDCE1E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6ECD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C9CDD2"/>
      </left>
      <right style="thin">
        <color rgb="FFC9CDD2"/>
      </right>
      <top style="thin">
        <color rgb="FFC9CDD2"/>
      </top>
      <bottom style="thin">
        <color rgb="FFC9CDD2"/>
      </bottom>
      <diagonal/>
    </border>
    <border>
      <left style="thin">
        <color rgb="FFC9CDD2"/>
      </left>
      <right/>
      <top style="thin">
        <color rgb="FFC9CDD2"/>
      </top>
      <bottom style="thin">
        <color rgb="FFC9CDD2"/>
      </bottom>
      <diagonal/>
    </border>
    <border>
      <left style="thin">
        <color rgb="FFC9CDD2"/>
      </left>
      <right style="thin">
        <color rgb="FFC9CDD2"/>
      </right>
      <top/>
      <bottom style="thin">
        <color rgb="FFC9CDD2"/>
      </bottom>
      <diagonal/>
    </border>
    <border>
      <left style="medium">
        <color indexed="64"/>
      </left>
      <right style="thin">
        <color rgb="FFC9CDD2"/>
      </right>
      <top style="medium">
        <color indexed="64"/>
      </top>
      <bottom style="medium">
        <color indexed="64"/>
      </bottom>
      <diagonal/>
    </border>
    <border>
      <left style="thin">
        <color rgb="FFC9CDD2"/>
      </left>
      <right style="thin">
        <color rgb="FFC9CDD2"/>
      </right>
      <top style="medium">
        <color indexed="64"/>
      </top>
      <bottom style="medium">
        <color indexed="64"/>
      </bottom>
      <diagonal/>
    </border>
    <border>
      <left style="thin">
        <color rgb="FFC9CDD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C9CDD2"/>
      </right>
      <top style="thin">
        <color rgb="FFC9CDD2"/>
      </top>
      <bottom style="thin">
        <color rgb="FFC9CDD2"/>
      </bottom>
      <diagonal/>
    </border>
    <border>
      <left style="thin">
        <color rgb="FFC9CDD2"/>
      </left>
      <right style="medium">
        <color indexed="64"/>
      </right>
      <top style="thin">
        <color rgb="FFC9CDD2"/>
      </top>
      <bottom style="thin">
        <color rgb="FFC9CDD2"/>
      </bottom>
      <diagonal/>
    </border>
    <border>
      <left style="medium">
        <color indexed="64"/>
      </left>
      <right style="thin">
        <color rgb="FFC9CDD2"/>
      </right>
      <top style="thin">
        <color rgb="FFC9CDD2"/>
      </top>
      <bottom style="medium">
        <color indexed="64"/>
      </bottom>
      <diagonal/>
    </border>
    <border>
      <left style="thin">
        <color rgb="FFC9CDD2"/>
      </left>
      <right style="thin">
        <color rgb="FFC9CDD2"/>
      </right>
      <top style="thin">
        <color rgb="FFC9CDD2"/>
      </top>
      <bottom style="medium">
        <color indexed="64"/>
      </bottom>
      <diagonal/>
    </border>
    <border>
      <left style="thin">
        <color rgb="FFC9CDD2"/>
      </left>
      <right style="medium">
        <color indexed="64"/>
      </right>
      <top style="thin">
        <color rgb="FFC9CDD2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8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0" fillId="6" borderId="0" xfId="0" applyFill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right" vertical="center"/>
    </xf>
    <xf numFmtId="9" fontId="12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9" fontId="4" fillId="10" borderId="2" xfId="0" applyNumberFormat="1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2" borderId="0" xfId="0" applyFill="1" applyBorder="1"/>
    <xf numFmtId="0" fontId="0" fillId="12" borderId="7" xfId="0" applyFill="1" applyBorder="1"/>
    <xf numFmtId="0" fontId="13" fillId="12" borderId="8" xfId="0" applyFont="1" applyFill="1" applyBorder="1" applyAlignment="1">
      <alignment horizontal="left" vertical="center"/>
    </xf>
    <xf numFmtId="0" fontId="13" fillId="12" borderId="9" xfId="0" applyFont="1" applyFill="1" applyBorder="1" applyAlignment="1">
      <alignment horizontal="left" vertical="center"/>
    </xf>
    <xf numFmtId="0" fontId="14" fillId="0" borderId="0" xfId="0" applyFont="1"/>
    <xf numFmtId="0" fontId="15" fillId="0" borderId="0" xfId="0" applyFont="1" applyAlignment="1">
      <alignment horizontal="left" vertical="center"/>
    </xf>
    <xf numFmtId="0" fontId="16" fillId="3" borderId="1" xfId="0" applyFont="1" applyFill="1" applyBorder="1" applyAlignment="1">
      <alignment horizontal="left" vertical="center"/>
    </xf>
    <xf numFmtId="0" fontId="0" fillId="13" borderId="10" xfId="0" applyFill="1" applyBorder="1"/>
    <xf numFmtId="0" fontId="0" fillId="13" borderId="11" xfId="0" applyFill="1" applyBorder="1"/>
    <xf numFmtId="0" fontId="0" fillId="13" borderId="12" xfId="0" applyFill="1" applyBorder="1"/>
    <xf numFmtId="0" fontId="0" fillId="13" borderId="13" xfId="0" applyFill="1" applyBorder="1"/>
    <xf numFmtId="0" fontId="0" fillId="13" borderId="14" xfId="0" applyFill="1" applyBorder="1"/>
    <xf numFmtId="0" fontId="0" fillId="13" borderId="15" xfId="0" applyFill="1" applyBorder="1"/>
    <xf numFmtId="0" fontId="0" fillId="0" borderId="16" xfId="0" applyBorder="1"/>
    <xf numFmtId="0" fontId="0" fillId="0" borderId="17" xfId="0" applyBorder="1"/>
    <xf numFmtId="0" fontId="17" fillId="4" borderId="0" xfId="0" applyFont="1" applyFill="1" applyAlignment="1">
      <alignment horizontal="left" vertical="center"/>
    </xf>
    <xf numFmtId="0" fontId="15" fillId="5" borderId="1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left" vertical="center"/>
    </xf>
    <xf numFmtId="0" fontId="14" fillId="0" borderId="11" xfId="0" applyFont="1" applyBorder="1"/>
    <xf numFmtId="0" fontId="14" fillId="0" borderId="12" xfId="0" applyFont="1" applyBorder="1"/>
    <xf numFmtId="0" fontId="15" fillId="7" borderId="18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/>
    </xf>
    <xf numFmtId="0" fontId="16" fillId="7" borderId="19" xfId="0" applyFont="1" applyFill="1" applyBorder="1" applyAlignment="1">
      <alignment horizontal="left" vertical="center"/>
    </xf>
    <xf numFmtId="0" fontId="15" fillId="6" borderId="18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/>
    </xf>
    <xf numFmtId="0" fontId="16" fillId="6" borderId="19" xfId="0" applyFont="1" applyFill="1" applyBorder="1" applyAlignment="1">
      <alignment horizontal="left" vertical="center"/>
    </xf>
    <xf numFmtId="0" fontId="15" fillId="8" borderId="18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left" vertical="center"/>
    </xf>
    <xf numFmtId="0" fontId="16" fillId="8" borderId="19" xfId="0" applyFont="1" applyFill="1" applyBorder="1" applyAlignment="1">
      <alignment horizontal="left" vertical="center"/>
    </xf>
    <xf numFmtId="0" fontId="15" fillId="9" borderId="20" xfId="0" applyFont="1" applyFill="1" applyBorder="1" applyAlignment="1">
      <alignment horizontal="center" vertical="center"/>
    </xf>
    <xf numFmtId="0" fontId="16" fillId="9" borderId="21" xfId="0" applyFont="1" applyFill="1" applyBorder="1" applyAlignment="1">
      <alignment horizontal="left" vertical="center"/>
    </xf>
    <xf numFmtId="0" fontId="16" fillId="9" borderId="22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17" fillId="2" borderId="0" xfId="0" applyFont="1" applyFill="1" applyAlignment="1">
      <alignment horizontal="left" vertical="center"/>
    </xf>
  </cellXfs>
  <cellStyles count="1">
    <cellStyle name="Normal" xfId="0" builtinId="0"/>
  </cellStyles>
  <dxfs count="11">
    <dxf>
      <fill>
        <patternFill>
          <bgColor rgb="FFF7D7D7"/>
        </patternFill>
      </fill>
    </dxf>
    <dxf>
      <fill>
        <patternFill>
          <bgColor rgb="FFFCEFCB"/>
        </patternFill>
      </fill>
    </dxf>
    <dxf>
      <fill>
        <patternFill>
          <bgColor rgb="FFD6ECD2"/>
        </patternFill>
      </fill>
    </dxf>
    <dxf>
      <fill>
        <patternFill>
          <bgColor rgb="FFF7D7D7"/>
        </patternFill>
      </fill>
    </dxf>
    <dxf>
      <fill>
        <patternFill>
          <bgColor rgb="FFFCEFCB"/>
        </patternFill>
      </fill>
    </dxf>
    <dxf>
      <fill>
        <patternFill>
          <bgColor rgb="FFEAF2F2"/>
        </patternFill>
      </fill>
    </dxf>
    <dxf>
      <fill>
        <patternFill>
          <bgColor rgb="FFD6ECD2"/>
        </patternFill>
      </fill>
    </dxf>
    <dxf>
      <fill>
        <patternFill>
          <bgColor rgb="FFF7D7D7"/>
        </patternFill>
      </fill>
    </dxf>
    <dxf>
      <fill>
        <patternFill>
          <bgColor rgb="FFFCEFCB"/>
        </patternFill>
      </fill>
    </dxf>
    <dxf>
      <fill>
        <patternFill>
          <bgColor rgb="FFEAF2F2"/>
        </patternFill>
      </fill>
    </dxf>
    <dxf>
      <fill>
        <patternFill>
          <bgColor rgb="FFD6ECD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8B8D"/>
      <rgbColor rgb="FFC9CDD2"/>
      <rgbColor rgb="FF808080"/>
      <rgbColor rgb="FF9999FF"/>
      <rgbColor rgb="FF993366"/>
      <rgbColor rgb="FFFFF8E1"/>
      <rgbColor rgb="FFEAF2F2"/>
      <rgbColor rgb="FF660066"/>
      <rgbColor rgb="FFFF8080"/>
      <rgbColor rgb="FF0066CC"/>
      <rgbColor rgb="FFDCE1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CD2"/>
      <rgbColor rgb="FFFCEFCB"/>
      <rgbColor rgb="FF99CCFF"/>
      <rgbColor rgb="FFFF99CC"/>
      <rgbColor rgb="FFCC99FF"/>
      <rgbColor rgb="FFF7D7D7"/>
      <rgbColor rgb="FF3366FF"/>
      <rgbColor rgb="FF33CCCC"/>
      <rgbColor rgb="FF99CC00"/>
      <rgbColor rgb="FFFFCC00"/>
      <rgbColor rgb="FFC9A227"/>
      <rgbColor rgb="FFFF6600"/>
      <rgbColor rgb="FF5A6B7B"/>
      <rgbColor rgb="FF969696"/>
      <rgbColor rgb="FF0A2540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76200</xdr:rowOff>
    </xdr:from>
    <xdr:to>
      <xdr:col>1</xdr:col>
      <xdr:colOff>1727200</xdr:colOff>
      <xdr:row>1</xdr:row>
      <xdr:rowOff>698500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33400" y="76200"/>
          <a:ext cx="1193800" cy="10033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9"/>
  <sheetViews>
    <sheetView showGridLines="0" tabSelected="1" topLeftCell="B1" zoomScaleNormal="100" workbookViewId="0">
      <selection activeCell="B95" sqref="B95:C95"/>
    </sheetView>
  </sheetViews>
  <sheetFormatPr baseColWidth="10" defaultColWidth="8.6640625" defaultRowHeight="15" x14ac:dyDescent="0.2"/>
  <cols>
    <col min="1" max="1" width="1.5" hidden="1" customWidth="1"/>
    <col min="2" max="2" width="27.83203125" customWidth="1"/>
    <col min="3" max="3" width="58" customWidth="1"/>
    <col min="4" max="4" width="16" customWidth="1"/>
    <col min="5" max="5" width="8" customWidth="1"/>
    <col min="6" max="6" width="42" customWidth="1"/>
    <col min="7" max="7" width="2.5" customWidth="1"/>
  </cols>
  <sheetData>
    <row r="1" spans="2:6" ht="30" customHeight="1" x14ac:dyDescent="0.2">
      <c r="B1" s="36"/>
      <c r="C1" s="30"/>
      <c r="D1" s="31"/>
      <c r="E1" s="31"/>
      <c r="F1" s="32"/>
    </row>
    <row r="2" spans="2:6" ht="60" customHeight="1" thickBot="1" x14ac:dyDescent="0.25">
      <c r="B2" s="37"/>
      <c r="C2" s="33"/>
      <c r="D2" s="34"/>
      <c r="E2" s="34"/>
      <c r="F2" s="35"/>
    </row>
    <row r="3" spans="2:6" ht="78" customHeight="1" thickBot="1" x14ac:dyDescent="0.25">
      <c r="B3" s="23"/>
      <c r="C3" s="2" t="s">
        <v>0</v>
      </c>
      <c r="D3" s="2"/>
      <c r="E3" s="2"/>
      <c r="F3" s="2"/>
    </row>
    <row r="4" spans="2:6" ht="19" thickBot="1" x14ac:dyDescent="0.25">
      <c r="B4" s="24"/>
      <c r="C4" s="25" t="s">
        <v>1</v>
      </c>
      <c r="D4" s="25"/>
      <c r="E4" s="25"/>
      <c r="F4" s="26"/>
    </row>
    <row r="5" spans="2:6" ht="19" x14ac:dyDescent="0.25">
      <c r="B5" s="27"/>
      <c r="C5" s="27"/>
      <c r="D5" s="27"/>
      <c r="E5" s="27"/>
      <c r="F5" s="27"/>
    </row>
    <row r="6" spans="2:6" ht="18" x14ac:dyDescent="0.2">
      <c r="B6" s="28" t="s">
        <v>2</v>
      </c>
      <c r="C6" s="29"/>
      <c r="D6" s="28" t="s">
        <v>3</v>
      </c>
      <c r="E6" s="29"/>
      <c r="F6" s="29"/>
    </row>
    <row r="7" spans="2:6" ht="18" x14ac:dyDescent="0.2">
      <c r="B7" s="28" t="s">
        <v>4</v>
      </c>
      <c r="C7" s="29"/>
      <c r="D7" s="28" t="s">
        <v>5</v>
      </c>
      <c r="E7" s="29"/>
      <c r="F7" s="29"/>
    </row>
    <row r="8" spans="2:6" ht="19" x14ac:dyDescent="0.25">
      <c r="B8" s="27"/>
      <c r="C8" s="27"/>
      <c r="D8" s="27"/>
      <c r="E8" s="27"/>
      <c r="F8" s="27"/>
    </row>
    <row r="9" spans="2:6" ht="47" customHeight="1" thickBot="1" x14ac:dyDescent="0.25">
      <c r="B9" s="38" t="s">
        <v>6</v>
      </c>
      <c r="C9" s="38"/>
      <c r="D9" s="38"/>
      <c r="E9" s="38"/>
      <c r="F9" s="38"/>
    </row>
    <row r="10" spans="2:6" ht="30" customHeight="1" thickBot="1" x14ac:dyDescent="0.25">
      <c r="B10" s="39" t="s">
        <v>7</v>
      </c>
      <c r="C10" s="18" t="str">
        <f>IFERROR(SUM(E25:E34,E38:E45,E49:E56,E60:E64,E68:E72,E76:E82,E86:E92,E96:E102)/(2*COUNT(E25:E34,E38:E45,E49:E56,E60:E64,E68:E72,E76:E82,E86:E92,E96:E102)),"")</f>
        <v/>
      </c>
      <c r="D10" s="20" t="s">
        <v>8</v>
      </c>
      <c r="E10" s="21"/>
      <c r="F10" s="22"/>
    </row>
    <row r="11" spans="2:6" ht="25.5" customHeight="1" x14ac:dyDescent="0.2">
      <c r="B11" s="39"/>
      <c r="C11" s="17"/>
      <c r="D11" s="19" t="str">
        <f>IF(C10="","Complete el checklist para ver el diagnóstico",IF(C10&gt;=0.9,"ÓPTIMO — Salón listo para un servicio de excelencia",IF(C10&gt;=0.75,"BUENO — Ajustes menores antes de abrir",IF(C10&gt;=0.6,"REGULAR — Corregir observaciones antes del servicio","CRÍTICO — No abrir el salón sin corregir"))))</f>
        <v>Complete el checklist para ver el diagnóstico</v>
      </c>
      <c r="E11" s="19"/>
      <c r="F11" s="19"/>
    </row>
    <row r="13" spans="2:6" ht="29" customHeight="1" x14ac:dyDescent="0.2">
      <c r="B13" s="55" t="s">
        <v>9</v>
      </c>
      <c r="C13" s="55"/>
      <c r="D13" s="55"/>
      <c r="E13" s="55"/>
      <c r="F13" s="3" t="s">
        <v>10</v>
      </c>
    </row>
    <row r="14" spans="2:6" x14ac:dyDescent="0.2">
      <c r="B14" s="1" t="s">
        <v>11</v>
      </c>
      <c r="C14" s="1"/>
      <c r="D14" s="1"/>
      <c r="E14" s="1"/>
      <c r="F14" s="4" t="str">
        <f>IF(E35="","",E35)</f>
        <v/>
      </c>
    </row>
    <row r="15" spans="2:6" x14ac:dyDescent="0.2">
      <c r="B15" s="1" t="s">
        <v>12</v>
      </c>
      <c r="C15" s="1"/>
      <c r="D15" s="1"/>
      <c r="E15" s="1"/>
      <c r="F15" s="4" t="str">
        <f>IF(E46="","",E46)</f>
        <v/>
      </c>
    </row>
    <row r="16" spans="2:6" x14ac:dyDescent="0.2">
      <c r="B16" s="1" t="s">
        <v>13</v>
      </c>
      <c r="C16" s="1"/>
      <c r="D16" s="1"/>
      <c r="E16" s="1"/>
      <c r="F16" s="4" t="str">
        <f>IF(E57="","",E57)</f>
        <v/>
      </c>
    </row>
    <row r="17" spans="2:6" x14ac:dyDescent="0.2">
      <c r="B17" s="1" t="s">
        <v>14</v>
      </c>
      <c r="C17" s="1"/>
      <c r="D17" s="1"/>
      <c r="E17" s="1"/>
      <c r="F17" s="4" t="str">
        <f>IF(E65="","",E65)</f>
        <v/>
      </c>
    </row>
    <row r="18" spans="2:6" x14ac:dyDescent="0.2">
      <c r="B18" s="1" t="s">
        <v>15</v>
      </c>
      <c r="C18" s="1"/>
      <c r="D18" s="1"/>
      <c r="E18" s="1"/>
      <c r="F18" s="4" t="str">
        <f>IF(E73="","",E73)</f>
        <v/>
      </c>
    </row>
    <row r="19" spans="2:6" x14ac:dyDescent="0.2">
      <c r="B19" s="1" t="s">
        <v>16</v>
      </c>
      <c r="C19" s="1"/>
      <c r="D19" s="1"/>
      <c r="E19" s="1"/>
      <c r="F19" s="4" t="str">
        <f>IF(E83="","",E83)</f>
        <v/>
      </c>
    </row>
    <row r="20" spans="2:6" x14ac:dyDescent="0.2">
      <c r="B20" s="1" t="s">
        <v>17</v>
      </c>
      <c r="C20" s="1"/>
      <c r="D20" s="1"/>
      <c r="E20" s="1"/>
      <c r="F20" s="4" t="str">
        <f>IF(E93="","",E93)</f>
        <v/>
      </c>
    </row>
    <row r="21" spans="2:6" x14ac:dyDescent="0.2">
      <c r="B21" s="1" t="s">
        <v>18</v>
      </c>
      <c r="C21" s="1"/>
      <c r="D21" s="1"/>
      <c r="E21" s="1"/>
      <c r="F21" s="4" t="str">
        <f>IF(E103="","",E103)</f>
        <v/>
      </c>
    </row>
    <row r="24" spans="2:6" ht="30" customHeight="1" x14ac:dyDescent="0.2">
      <c r="B24" s="56" t="s">
        <v>11</v>
      </c>
      <c r="C24" s="56"/>
      <c r="D24" s="5" t="s">
        <v>8</v>
      </c>
      <c r="E24" s="5" t="s">
        <v>19</v>
      </c>
      <c r="F24" s="6" t="s">
        <v>20</v>
      </c>
    </row>
    <row r="25" spans="2:6" x14ac:dyDescent="0.2">
      <c r="B25" s="7">
        <v>1</v>
      </c>
      <c r="C25" s="8" t="s">
        <v>21</v>
      </c>
      <c r="D25" s="9"/>
      <c r="E25" s="10" t="str">
        <f t="shared" ref="E25:E34" si="0">IF($D25="","",IF($D25="Cumple",2,IF($D25="Parcial",1,0)))</f>
        <v/>
      </c>
      <c r="F25" s="11"/>
    </row>
    <row r="26" spans="2:6" x14ac:dyDescent="0.2">
      <c r="B26" s="7">
        <v>2</v>
      </c>
      <c r="C26" s="8" t="s">
        <v>22</v>
      </c>
      <c r="D26" s="9"/>
      <c r="E26" s="10" t="str">
        <f t="shared" si="0"/>
        <v/>
      </c>
      <c r="F26" s="11"/>
    </row>
    <row r="27" spans="2:6" x14ac:dyDescent="0.2">
      <c r="B27" s="7">
        <v>3</v>
      </c>
      <c r="C27" s="8" t="s">
        <v>23</v>
      </c>
      <c r="D27" s="9"/>
      <c r="E27" s="10" t="str">
        <f t="shared" si="0"/>
        <v/>
      </c>
      <c r="F27" s="11"/>
    </row>
    <row r="28" spans="2:6" x14ac:dyDescent="0.2">
      <c r="B28" s="7">
        <v>4</v>
      </c>
      <c r="C28" s="8" t="s">
        <v>24</v>
      </c>
      <c r="D28" s="9"/>
      <c r="E28" s="10" t="str">
        <f t="shared" si="0"/>
        <v/>
      </c>
      <c r="F28" s="11"/>
    </row>
    <row r="29" spans="2:6" x14ac:dyDescent="0.2">
      <c r="B29" s="7">
        <v>5</v>
      </c>
      <c r="C29" s="8" t="s">
        <v>25</v>
      </c>
      <c r="D29" s="9"/>
      <c r="E29" s="10" t="str">
        <f t="shared" si="0"/>
        <v/>
      </c>
      <c r="F29" s="11"/>
    </row>
    <row r="30" spans="2:6" x14ac:dyDescent="0.2">
      <c r="B30" s="7">
        <v>6</v>
      </c>
      <c r="C30" s="8" t="s">
        <v>26</v>
      </c>
      <c r="D30" s="9"/>
      <c r="E30" s="10" t="str">
        <f t="shared" si="0"/>
        <v/>
      </c>
      <c r="F30" s="11"/>
    </row>
    <row r="31" spans="2:6" x14ac:dyDescent="0.2">
      <c r="B31" s="7">
        <v>7</v>
      </c>
      <c r="C31" s="8" t="s">
        <v>27</v>
      </c>
      <c r="D31" s="9"/>
      <c r="E31" s="10" t="str">
        <f t="shared" si="0"/>
        <v/>
      </c>
      <c r="F31" s="11"/>
    </row>
    <row r="32" spans="2:6" x14ac:dyDescent="0.2">
      <c r="B32" s="7">
        <v>8</v>
      </c>
      <c r="C32" s="8" t="s">
        <v>28</v>
      </c>
      <c r="D32" s="9"/>
      <c r="E32" s="10" t="str">
        <f t="shared" si="0"/>
        <v/>
      </c>
      <c r="F32" s="11"/>
    </row>
    <row r="33" spans="2:6" x14ac:dyDescent="0.2">
      <c r="B33" s="7">
        <v>9</v>
      </c>
      <c r="C33" s="8" t="s">
        <v>29</v>
      </c>
      <c r="D33" s="9"/>
      <c r="E33" s="10" t="str">
        <f t="shared" si="0"/>
        <v/>
      </c>
      <c r="F33" s="11"/>
    </row>
    <row r="34" spans="2:6" x14ac:dyDescent="0.2">
      <c r="B34" s="7">
        <v>10</v>
      </c>
      <c r="C34" s="8" t="s">
        <v>30</v>
      </c>
      <c r="D34" s="9"/>
      <c r="E34" s="10" t="str">
        <f t="shared" si="0"/>
        <v/>
      </c>
      <c r="F34" s="11"/>
    </row>
    <row r="35" spans="2:6" x14ac:dyDescent="0.2">
      <c r="B35" s="12"/>
      <c r="C35" s="13" t="s">
        <v>31</v>
      </c>
      <c r="D35" s="14" t="s">
        <v>32</v>
      </c>
      <c r="E35" s="15" t="str">
        <f>IFERROR(SUM(E25:E34)/(2*COUNT(E25:E34)),"")</f>
        <v/>
      </c>
      <c r="F35" s="16"/>
    </row>
    <row r="37" spans="2:6" ht="31" customHeight="1" x14ac:dyDescent="0.2">
      <c r="B37" s="56" t="s">
        <v>12</v>
      </c>
      <c r="C37" s="56"/>
      <c r="D37" s="5" t="s">
        <v>8</v>
      </c>
      <c r="E37" s="5" t="s">
        <v>19</v>
      </c>
      <c r="F37" s="6" t="s">
        <v>20</v>
      </c>
    </row>
    <row r="38" spans="2:6" x14ac:dyDescent="0.2">
      <c r="B38" s="7">
        <v>1</v>
      </c>
      <c r="C38" s="8" t="s">
        <v>33</v>
      </c>
      <c r="D38" s="9"/>
      <c r="E38" s="10" t="str">
        <f t="shared" ref="E38:E45" si="1">IF($D38="","",IF($D38="Cumple",2,IF($D38="Parcial",1,0)))</f>
        <v/>
      </c>
      <c r="F38" s="11"/>
    </row>
    <row r="39" spans="2:6" x14ac:dyDescent="0.2">
      <c r="B39" s="7">
        <v>2</v>
      </c>
      <c r="C39" s="8" t="s">
        <v>34</v>
      </c>
      <c r="D39" s="9"/>
      <c r="E39" s="10" t="str">
        <f t="shared" si="1"/>
        <v/>
      </c>
      <c r="F39" s="11"/>
    </row>
    <row r="40" spans="2:6" x14ac:dyDescent="0.2">
      <c r="B40" s="7">
        <v>3</v>
      </c>
      <c r="C40" s="8" t="s">
        <v>35</v>
      </c>
      <c r="D40" s="9"/>
      <c r="E40" s="10" t="str">
        <f t="shared" si="1"/>
        <v/>
      </c>
      <c r="F40" s="11"/>
    </row>
    <row r="41" spans="2:6" x14ac:dyDescent="0.2">
      <c r="B41" s="7">
        <v>4</v>
      </c>
      <c r="C41" s="8" t="s">
        <v>36</v>
      </c>
      <c r="D41" s="9"/>
      <c r="E41" s="10" t="str">
        <f t="shared" si="1"/>
        <v/>
      </c>
      <c r="F41" s="11"/>
    </row>
    <row r="42" spans="2:6" x14ac:dyDescent="0.2">
      <c r="B42" s="7">
        <v>5</v>
      </c>
      <c r="C42" s="8" t="s">
        <v>37</v>
      </c>
      <c r="D42" s="9"/>
      <c r="E42" s="10" t="str">
        <f t="shared" si="1"/>
        <v/>
      </c>
      <c r="F42" s="11"/>
    </row>
    <row r="43" spans="2:6" x14ac:dyDescent="0.2">
      <c r="B43" s="7">
        <v>6</v>
      </c>
      <c r="C43" s="8" t="s">
        <v>38</v>
      </c>
      <c r="D43" s="9"/>
      <c r="E43" s="10" t="str">
        <f t="shared" si="1"/>
        <v/>
      </c>
      <c r="F43" s="11"/>
    </row>
    <row r="44" spans="2:6" x14ac:dyDescent="0.2">
      <c r="B44" s="7">
        <v>7</v>
      </c>
      <c r="C44" s="8" t="s">
        <v>39</v>
      </c>
      <c r="D44" s="9"/>
      <c r="E44" s="10" t="str">
        <f t="shared" si="1"/>
        <v/>
      </c>
      <c r="F44" s="11"/>
    </row>
    <row r="45" spans="2:6" x14ac:dyDescent="0.2">
      <c r="B45" s="7">
        <v>8</v>
      </c>
      <c r="C45" s="8" t="s">
        <v>40</v>
      </c>
      <c r="D45" s="9"/>
      <c r="E45" s="10" t="str">
        <f t="shared" si="1"/>
        <v/>
      </c>
      <c r="F45" s="11"/>
    </row>
    <row r="46" spans="2:6" x14ac:dyDescent="0.2">
      <c r="B46" s="12"/>
      <c r="C46" s="13" t="s">
        <v>41</v>
      </c>
      <c r="D46" s="14" t="s">
        <v>32</v>
      </c>
      <c r="E46" s="15" t="str">
        <f>IFERROR(SUM(E38:E45)/(2*COUNT(E38:E45)),"")</f>
        <v/>
      </c>
      <c r="F46" s="16"/>
    </row>
    <row r="48" spans="2:6" ht="29" customHeight="1" x14ac:dyDescent="0.2">
      <c r="B48" s="56" t="s">
        <v>13</v>
      </c>
      <c r="C48" s="56"/>
      <c r="D48" s="5" t="s">
        <v>8</v>
      </c>
      <c r="E48" s="5" t="s">
        <v>19</v>
      </c>
      <c r="F48" s="6" t="s">
        <v>20</v>
      </c>
    </row>
    <row r="49" spans="2:6" x14ac:dyDescent="0.2">
      <c r="B49" s="7">
        <v>1</v>
      </c>
      <c r="C49" s="8" t="s">
        <v>42</v>
      </c>
      <c r="D49" s="9"/>
      <c r="E49" s="10" t="str">
        <f t="shared" ref="E49:E56" si="2">IF($D49="","",IF($D49="Cumple",2,IF($D49="Parcial",1,0)))</f>
        <v/>
      </c>
      <c r="F49" s="11"/>
    </row>
    <row r="50" spans="2:6" x14ac:dyDescent="0.2">
      <c r="B50" s="7">
        <v>2</v>
      </c>
      <c r="C50" s="8" t="s">
        <v>43</v>
      </c>
      <c r="D50" s="9"/>
      <c r="E50" s="10" t="str">
        <f t="shared" si="2"/>
        <v/>
      </c>
      <c r="F50" s="11"/>
    </row>
    <row r="51" spans="2:6" x14ac:dyDescent="0.2">
      <c r="B51" s="7">
        <v>3</v>
      </c>
      <c r="C51" s="8" t="s">
        <v>44</v>
      </c>
      <c r="D51" s="9"/>
      <c r="E51" s="10" t="str">
        <f t="shared" si="2"/>
        <v/>
      </c>
      <c r="F51" s="11"/>
    </row>
    <row r="52" spans="2:6" x14ac:dyDescent="0.2">
      <c r="B52" s="7">
        <v>4</v>
      </c>
      <c r="C52" s="8" t="s">
        <v>45</v>
      </c>
      <c r="D52" s="9"/>
      <c r="E52" s="10" t="str">
        <f t="shared" si="2"/>
        <v/>
      </c>
      <c r="F52" s="11"/>
    </row>
    <row r="53" spans="2:6" x14ac:dyDescent="0.2">
      <c r="B53" s="7">
        <v>5</v>
      </c>
      <c r="C53" s="8" t="s">
        <v>46</v>
      </c>
      <c r="D53" s="9"/>
      <c r="E53" s="10" t="str">
        <f t="shared" si="2"/>
        <v/>
      </c>
      <c r="F53" s="11"/>
    </row>
    <row r="54" spans="2:6" x14ac:dyDescent="0.2">
      <c r="B54" s="7">
        <v>6</v>
      </c>
      <c r="C54" s="8" t="s">
        <v>47</v>
      </c>
      <c r="D54" s="9"/>
      <c r="E54" s="10" t="str">
        <f t="shared" si="2"/>
        <v/>
      </c>
      <c r="F54" s="11"/>
    </row>
    <row r="55" spans="2:6" x14ac:dyDescent="0.2">
      <c r="B55" s="7">
        <v>7</v>
      </c>
      <c r="C55" s="8" t="s">
        <v>48</v>
      </c>
      <c r="D55" s="9"/>
      <c r="E55" s="10" t="str">
        <f t="shared" si="2"/>
        <v/>
      </c>
      <c r="F55" s="11"/>
    </row>
    <row r="56" spans="2:6" x14ac:dyDescent="0.2">
      <c r="B56" s="7">
        <v>8</v>
      </c>
      <c r="C56" s="8" t="s">
        <v>49</v>
      </c>
      <c r="D56" s="9"/>
      <c r="E56" s="10" t="str">
        <f t="shared" si="2"/>
        <v/>
      </c>
      <c r="F56" s="11"/>
    </row>
    <row r="57" spans="2:6" x14ac:dyDescent="0.2">
      <c r="B57" s="12"/>
      <c r="C57" s="13" t="s">
        <v>50</v>
      </c>
      <c r="D57" s="14" t="s">
        <v>32</v>
      </c>
      <c r="E57" s="15" t="str">
        <f>IFERROR(SUM(E49:E56)/(2*COUNT(E49:E56)),"")</f>
        <v/>
      </c>
      <c r="F57" s="16"/>
    </row>
    <row r="59" spans="2:6" ht="29" customHeight="1" x14ac:dyDescent="0.2">
      <c r="B59" s="56" t="s">
        <v>14</v>
      </c>
      <c r="C59" s="56"/>
      <c r="D59" s="5" t="s">
        <v>8</v>
      </c>
      <c r="E59" s="5" t="s">
        <v>19</v>
      </c>
      <c r="F59" s="6" t="s">
        <v>20</v>
      </c>
    </row>
    <row r="60" spans="2:6" x14ac:dyDescent="0.2">
      <c r="B60" s="7">
        <v>1</v>
      </c>
      <c r="C60" s="8" t="s">
        <v>51</v>
      </c>
      <c r="D60" s="9"/>
      <c r="E60" s="10" t="str">
        <f>IF($D60="","",IF($D60="Cumple",2,IF($D60="Parcial",1,0)))</f>
        <v/>
      </c>
      <c r="F60" s="11"/>
    </row>
    <row r="61" spans="2:6" x14ac:dyDescent="0.2">
      <c r="B61" s="7">
        <v>2</v>
      </c>
      <c r="C61" s="8" t="s">
        <v>52</v>
      </c>
      <c r="D61" s="9"/>
      <c r="E61" s="10" t="str">
        <f>IF($D61="","",IF($D61="Cumple",2,IF($D61="Parcial",1,0)))</f>
        <v/>
      </c>
      <c r="F61" s="11"/>
    </row>
    <row r="62" spans="2:6" x14ac:dyDescent="0.2">
      <c r="B62" s="7">
        <v>3</v>
      </c>
      <c r="C62" s="8" t="s">
        <v>53</v>
      </c>
      <c r="D62" s="9"/>
      <c r="E62" s="10" t="str">
        <f>IF($D62="","",IF($D62="Cumple",2,IF($D62="Parcial",1,0)))</f>
        <v/>
      </c>
      <c r="F62" s="11"/>
    </row>
    <row r="63" spans="2:6" x14ac:dyDescent="0.2">
      <c r="B63" s="7">
        <v>4</v>
      </c>
      <c r="C63" s="8" t="s">
        <v>54</v>
      </c>
      <c r="D63" s="9"/>
      <c r="E63" s="10" t="str">
        <f>IF($D63="","",IF($D63="Cumple",2,IF($D63="Parcial",1,0)))</f>
        <v/>
      </c>
      <c r="F63" s="11"/>
    </row>
    <row r="64" spans="2:6" x14ac:dyDescent="0.2">
      <c r="B64" s="7">
        <v>5</v>
      </c>
      <c r="C64" s="8" t="s">
        <v>55</v>
      </c>
      <c r="D64" s="9"/>
      <c r="E64" s="10" t="str">
        <f>IF($D64="","",IF($D64="Cumple",2,IF($D64="Parcial",1,0)))</f>
        <v/>
      </c>
      <c r="F64" s="11"/>
    </row>
    <row r="65" spans="2:6" x14ac:dyDescent="0.2">
      <c r="B65" s="12"/>
      <c r="C65" s="13" t="s">
        <v>56</v>
      </c>
      <c r="D65" s="14" t="s">
        <v>32</v>
      </c>
      <c r="E65" s="15" t="str">
        <f>IFERROR(SUM(E60:E64)/(2*COUNT(E60:E64)),"")</f>
        <v/>
      </c>
      <c r="F65" s="16"/>
    </row>
    <row r="67" spans="2:6" ht="29" customHeight="1" x14ac:dyDescent="0.2">
      <c r="B67" s="56" t="s">
        <v>15</v>
      </c>
      <c r="C67" s="56"/>
      <c r="D67" s="5" t="s">
        <v>8</v>
      </c>
      <c r="E67" s="5" t="s">
        <v>19</v>
      </c>
      <c r="F67" s="6" t="s">
        <v>20</v>
      </c>
    </row>
    <row r="68" spans="2:6" x14ac:dyDescent="0.2">
      <c r="B68" s="7">
        <v>1</v>
      </c>
      <c r="C68" s="8" t="s">
        <v>57</v>
      </c>
      <c r="D68" s="9"/>
      <c r="E68" s="10" t="str">
        <f>IF($D68="","",IF($D68="Cumple",2,IF($D68="Parcial",1,0)))</f>
        <v/>
      </c>
      <c r="F68" s="11"/>
    </row>
    <row r="69" spans="2:6" x14ac:dyDescent="0.2">
      <c r="B69" s="7">
        <v>2</v>
      </c>
      <c r="C69" s="8" t="s">
        <v>58</v>
      </c>
      <c r="D69" s="9"/>
      <c r="E69" s="10" t="str">
        <f>IF($D69="","",IF($D69="Cumple",2,IF($D69="Parcial",1,0)))</f>
        <v/>
      </c>
      <c r="F69" s="11"/>
    </row>
    <row r="70" spans="2:6" x14ac:dyDescent="0.2">
      <c r="B70" s="7">
        <v>3</v>
      </c>
      <c r="C70" s="8" t="s">
        <v>59</v>
      </c>
      <c r="D70" s="9"/>
      <c r="E70" s="10" t="str">
        <f>IF($D70="","",IF($D70="Cumple",2,IF($D70="Parcial",1,0)))</f>
        <v/>
      </c>
      <c r="F70" s="11"/>
    </row>
    <row r="71" spans="2:6" x14ac:dyDescent="0.2">
      <c r="B71" s="7">
        <v>4</v>
      </c>
      <c r="C71" s="8" t="s">
        <v>60</v>
      </c>
      <c r="D71" s="9"/>
      <c r="E71" s="10" t="str">
        <f>IF($D71="","",IF($D71="Cumple",2,IF($D71="Parcial",1,0)))</f>
        <v/>
      </c>
      <c r="F71" s="11"/>
    </row>
    <row r="72" spans="2:6" x14ac:dyDescent="0.2">
      <c r="B72" s="7">
        <v>5</v>
      </c>
      <c r="C72" s="8" t="s">
        <v>61</v>
      </c>
      <c r="D72" s="9"/>
      <c r="E72" s="10" t="str">
        <f>IF($D72="","",IF($D72="Cumple",2,IF($D72="Parcial",1,0)))</f>
        <v/>
      </c>
      <c r="F72" s="11"/>
    </row>
    <row r="73" spans="2:6" x14ac:dyDescent="0.2">
      <c r="B73" s="12"/>
      <c r="C73" s="13" t="s">
        <v>62</v>
      </c>
      <c r="D73" s="14" t="s">
        <v>32</v>
      </c>
      <c r="E73" s="15" t="str">
        <f>IFERROR(SUM(E68:E72)/(2*COUNT(E68:E72)),"")</f>
        <v/>
      </c>
      <c r="F73" s="16"/>
    </row>
    <row r="75" spans="2:6" ht="32" customHeight="1" x14ac:dyDescent="0.2">
      <c r="B75" s="56" t="s">
        <v>16</v>
      </c>
      <c r="C75" s="56"/>
      <c r="D75" s="5" t="s">
        <v>8</v>
      </c>
      <c r="E75" s="5" t="s">
        <v>19</v>
      </c>
      <c r="F75" s="6" t="s">
        <v>20</v>
      </c>
    </row>
    <row r="76" spans="2:6" x14ac:dyDescent="0.2">
      <c r="B76" s="7">
        <v>1</v>
      </c>
      <c r="C76" s="8" t="s">
        <v>63</v>
      </c>
      <c r="D76" s="9"/>
      <c r="E76" s="10" t="str">
        <f t="shared" ref="E76:E82" si="3">IF($D76="","",IF($D76="Cumple",2,IF($D76="Parcial",1,0)))</f>
        <v/>
      </c>
      <c r="F76" s="11"/>
    </row>
    <row r="77" spans="2:6" x14ac:dyDescent="0.2">
      <c r="B77" s="7">
        <v>2</v>
      </c>
      <c r="C77" s="8" t="s">
        <v>64</v>
      </c>
      <c r="D77" s="9"/>
      <c r="E77" s="10" t="str">
        <f t="shared" si="3"/>
        <v/>
      </c>
      <c r="F77" s="11"/>
    </row>
    <row r="78" spans="2:6" x14ac:dyDescent="0.2">
      <c r="B78" s="7">
        <v>3</v>
      </c>
      <c r="C78" s="8" t="s">
        <v>65</v>
      </c>
      <c r="D78" s="9"/>
      <c r="E78" s="10" t="str">
        <f t="shared" si="3"/>
        <v/>
      </c>
      <c r="F78" s="11"/>
    </row>
    <row r="79" spans="2:6" x14ac:dyDescent="0.2">
      <c r="B79" s="7">
        <v>4</v>
      </c>
      <c r="C79" s="8" t="s">
        <v>66</v>
      </c>
      <c r="D79" s="9"/>
      <c r="E79" s="10" t="str">
        <f t="shared" si="3"/>
        <v/>
      </c>
      <c r="F79" s="11"/>
    </row>
    <row r="80" spans="2:6" x14ac:dyDescent="0.2">
      <c r="B80" s="7">
        <v>5</v>
      </c>
      <c r="C80" s="8" t="s">
        <v>67</v>
      </c>
      <c r="D80" s="9"/>
      <c r="E80" s="10" t="str">
        <f t="shared" si="3"/>
        <v/>
      </c>
      <c r="F80" s="11"/>
    </row>
    <row r="81" spans="2:6" x14ac:dyDescent="0.2">
      <c r="B81" s="7">
        <v>6</v>
      </c>
      <c r="C81" s="8" t="s">
        <v>68</v>
      </c>
      <c r="D81" s="9"/>
      <c r="E81" s="10" t="str">
        <f t="shared" si="3"/>
        <v/>
      </c>
      <c r="F81" s="11"/>
    </row>
    <row r="82" spans="2:6" x14ac:dyDescent="0.2">
      <c r="B82" s="7">
        <v>7</v>
      </c>
      <c r="C82" s="8" t="s">
        <v>69</v>
      </c>
      <c r="D82" s="9"/>
      <c r="E82" s="10" t="str">
        <f t="shared" si="3"/>
        <v/>
      </c>
      <c r="F82" s="11"/>
    </row>
    <row r="83" spans="2:6" x14ac:dyDescent="0.2">
      <c r="B83" s="12"/>
      <c r="C83" s="13" t="s">
        <v>70</v>
      </c>
      <c r="D83" s="14" t="s">
        <v>32</v>
      </c>
      <c r="E83" s="15" t="str">
        <f>IFERROR(SUM(E76:E82)/(2*COUNT(E76:E82)),"")</f>
        <v/>
      </c>
      <c r="F83" s="16"/>
    </row>
    <row r="85" spans="2:6" ht="28" customHeight="1" x14ac:dyDescent="0.2">
      <c r="B85" s="56" t="s">
        <v>17</v>
      </c>
      <c r="C85" s="56"/>
      <c r="D85" s="5" t="s">
        <v>8</v>
      </c>
      <c r="E85" s="5" t="s">
        <v>19</v>
      </c>
      <c r="F85" s="6" t="s">
        <v>20</v>
      </c>
    </row>
    <row r="86" spans="2:6" x14ac:dyDescent="0.2">
      <c r="B86" s="7">
        <v>1</v>
      </c>
      <c r="C86" s="8" t="s">
        <v>71</v>
      </c>
      <c r="D86" s="9"/>
      <c r="E86" s="10" t="str">
        <f t="shared" ref="E86:E92" si="4">IF($D86="","",IF($D86="Cumple",2,IF($D86="Parcial",1,0)))</f>
        <v/>
      </c>
      <c r="F86" s="11"/>
    </row>
    <row r="87" spans="2:6" x14ac:dyDescent="0.2">
      <c r="B87" s="7">
        <v>2</v>
      </c>
      <c r="C87" s="8" t="s">
        <v>72</v>
      </c>
      <c r="D87" s="9"/>
      <c r="E87" s="10" t="str">
        <f t="shared" si="4"/>
        <v/>
      </c>
      <c r="F87" s="11"/>
    </row>
    <row r="88" spans="2:6" x14ac:dyDescent="0.2">
      <c r="B88" s="7">
        <v>3</v>
      </c>
      <c r="C88" s="8" t="s">
        <v>73</v>
      </c>
      <c r="D88" s="9"/>
      <c r="E88" s="10" t="str">
        <f t="shared" si="4"/>
        <v/>
      </c>
      <c r="F88" s="11"/>
    </row>
    <row r="89" spans="2:6" x14ac:dyDescent="0.2">
      <c r="B89" s="7">
        <v>4</v>
      </c>
      <c r="C89" s="8" t="s">
        <v>74</v>
      </c>
      <c r="D89" s="9"/>
      <c r="E89" s="10" t="str">
        <f t="shared" si="4"/>
        <v/>
      </c>
      <c r="F89" s="11"/>
    </row>
    <row r="90" spans="2:6" x14ac:dyDescent="0.2">
      <c r="B90" s="7">
        <v>5</v>
      </c>
      <c r="C90" s="8" t="s">
        <v>75</v>
      </c>
      <c r="D90" s="9"/>
      <c r="E90" s="10" t="str">
        <f t="shared" si="4"/>
        <v/>
      </c>
      <c r="F90" s="11"/>
    </row>
    <row r="91" spans="2:6" x14ac:dyDescent="0.2">
      <c r="B91" s="7">
        <v>6</v>
      </c>
      <c r="C91" s="8" t="s">
        <v>76</v>
      </c>
      <c r="D91" s="9"/>
      <c r="E91" s="10" t="str">
        <f t="shared" si="4"/>
        <v/>
      </c>
      <c r="F91" s="11"/>
    </row>
    <row r="92" spans="2:6" x14ac:dyDescent="0.2">
      <c r="B92" s="7">
        <v>7</v>
      </c>
      <c r="C92" s="8" t="s">
        <v>77</v>
      </c>
      <c r="D92" s="9"/>
      <c r="E92" s="10" t="str">
        <f t="shared" si="4"/>
        <v/>
      </c>
      <c r="F92" s="11"/>
    </row>
    <row r="93" spans="2:6" x14ac:dyDescent="0.2">
      <c r="B93" s="12"/>
      <c r="C93" s="13" t="s">
        <v>78</v>
      </c>
      <c r="D93" s="14" t="s">
        <v>32</v>
      </c>
      <c r="E93" s="15" t="str">
        <f>IFERROR(SUM(E86:E92)/(2*COUNT(E86:E92)),"")</f>
        <v/>
      </c>
      <c r="F93" s="16"/>
    </row>
    <row r="95" spans="2:6" ht="30" customHeight="1" x14ac:dyDescent="0.2">
      <c r="B95" s="56" t="s">
        <v>18</v>
      </c>
      <c r="C95" s="56"/>
      <c r="D95" s="5" t="s">
        <v>8</v>
      </c>
      <c r="E95" s="5" t="s">
        <v>19</v>
      </c>
      <c r="F95" s="6" t="s">
        <v>20</v>
      </c>
    </row>
    <row r="96" spans="2:6" x14ac:dyDescent="0.2">
      <c r="B96" s="7">
        <v>1</v>
      </c>
      <c r="C96" s="8" t="s">
        <v>79</v>
      </c>
      <c r="D96" s="9"/>
      <c r="E96" s="10" t="str">
        <f t="shared" ref="E96:E102" si="5">IF($D96="","",IF($D96="Cumple",2,IF($D96="Parcial",1,0)))</f>
        <v/>
      </c>
      <c r="F96" s="11"/>
    </row>
    <row r="97" spans="2:6" x14ac:dyDescent="0.2">
      <c r="B97" s="7">
        <v>2</v>
      </c>
      <c r="C97" s="8" t="s">
        <v>80</v>
      </c>
      <c r="D97" s="9"/>
      <c r="E97" s="10" t="str">
        <f t="shared" si="5"/>
        <v/>
      </c>
      <c r="F97" s="11"/>
    </row>
    <row r="98" spans="2:6" x14ac:dyDescent="0.2">
      <c r="B98" s="7">
        <v>3</v>
      </c>
      <c r="C98" s="8" t="s">
        <v>81</v>
      </c>
      <c r="D98" s="9"/>
      <c r="E98" s="10" t="str">
        <f t="shared" si="5"/>
        <v/>
      </c>
      <c r="F98" s="11"/>
    </row>
    <row r="99" spans="2:6" x14ac:dyDescent="0.2">
      <c r="B99" s="7">
        <v>4</v>
      </c>
      <c r="C99" s="8" t="s">
        <v>82</v>
      </c>
      <c r="D99" s="9"/>
      <c r="E99" s="10" t="str">
        <f t="shared" si="5"/>
        <v/>
      </c>
      <c r="F99" s="11"/>
    </row>
    <row r="100" spans="2:6" x14ac:dyDescent="0.2">
      <c r="B100" s="7">
        <v>5</v>
      </c>
      <c r="C100" s="8" t="s">
        <v>83</v>
      </c>
      <c r="D100" s="9"/>
      <c r="E100" s="10" t="str">
        <f t="shared" si="5"/>
        <v/>
      </c>
      <c r="F100" s="11"/>
    </row>
    <row r="101" spans="2:6" x14ac:dyDescent="0.2">
      <c r="B101" s="7">
        <v>6</v>
      </c>
      <c r="C101" s="8" t="s">
        <v>84</v>
      </c>
      <c r="D101" s="9"/>
      <c r="E101" s="10" t="str">
        <f t="shared" si="5"/>
        <v/>
      </c>
      <c r="F101" s="11"/>
    </row>
    <row r="102" spans="2:6" x14ac:dyDescent="0.2">
      <c r="B102" s="7">
        <v>7</v>
      </c>
      <c r="C102" s="8" t="s">
        <v>85</v>
      </c>
      <c r="D102" s="9"/>
      <c r="E102" s="10" t="str">
        <f t="shared" si="5"/>
        <v/>
      </c>
      <c r="F102" s="11"/>
    </row>
    <row r="103" spans="2:6" x14ac:dyDescent="0.2">
      <c r="B103" s="12"/>
      <c r="C103" s="13" t="s">
        <v>86</v>
      </c>
      <c r="D103" s="14" t="s">
        <v>32</v>
      </c>
      <c r="E103" s="15" t="str">
        <f>IFERROR(SUM(E96:E102)/(2*COUNT(E96:E102)),"")</f>
        <v/>
      </c>
      <c r="F103" s="16"/>
    </row>
    <row r="104" spans="2:6" ht="16" thickBot="1" x14ac:dyDescent="0.25"/>
    <row r="105" spans="2:6" ht="19" x14ac:dyDescent="0.25">
      <c r="B105" s="40" t="s">
        <v>87</v>
      </c>
      <c r="C105" s="41"/>
      <c r="D105" s="41"/>
      <c r="E105" s="41"/>
      <c r="F105" s="42"/>
    </row>
    <row r="106" spans="2:6" ht="18" x14ac:dyDescent="0.2">
      <c r="B106" s="43" t="s">
        <v>88</v>
      </c>
      <c r="C106" s="44" t="s">
        <v>89</v>
      </c>
      <c r="D106" s="44"/>
      <c r="E106" s="44"/>
      <c r="F106" s="45"/>
    </row>
    <row r="107" spans="2:6" ht="18" x14ac:dyDescent="0.2">
      <c r="B107" s="46" t="s">
        <v>90</v>
      </c>
      <c r="C107" s="47" t="s">
        <v>91</v>
      </c>
      <c r="D107" s="47"/>
      <c r="E107" s="47"/>
      <c r="F107" s="48"/>
    </row>
    <row r="108" spans="2:6" ht="18" x14ac:dyDescent="0.2">
      <c r="B108" s="49" t="s">
        <v>92</v>
      </c>
      <c r="C108" s="50" t="s">
        <v>93</v>
      </c>
      <c r="D108" s="50"/>
      <c r="E108" s="50"/>
      <c r="F108" s="51"/>
    </row>
    <row r="109" spans="2:6" ht="19" thickBot="1" x14ac:dyDescent="0.25">
      <c r="B109" s="52" t="s">
        <v>94</v>
      </c>
      <c r="C109" s="53" t="s">
        <v>95</v>
      </c>
      <c r="D109" s="53"/>
      <c r="E109" s="53"/>
      <c r="F109" s="54"/>
    </row>
  </sheetData>
  <mergeCells count="28">
    <mergeCell ref="C109:F109"/>
    <mergeCell ref="B85:C85"/>
    <mergeCell ref="B95:C95"/>
    <mergeCell ref="C106:F106"/>
    <mergeCell ref="C107:F107"/>
    <mergeCell ref="C108:F108"/>
    <mergeCell ref="B37:C37"/>
    <mergeCell ref="B48:C48"/>
    <mergeCell ref="B59:C59"/>
    <mergeCell ref="B67:C67"/>
    <mergeCell ref="B75:C75"/>
    <mergeCell ref="B18:E18"/>
    <mergeCell ref="B19:E19"/>
    <mergeCell ref="B20:E20"/>
    <mergeCell ref="B21:E21"/>
    <mergeCell ref="B24:C24"/>
    <mergeCell ref="B13:E13"/>
    <mergeCell ref="B14:E14"/>
    <mergeCell ref="B15:E15"/>
    <mergeCell ref="B16:E16"/>
    <mergeCell ref="B17:E17"/>
    <mergeCell ref="C3:F3"/>
    <mergeCell ref="C4:F4"/>
    <mergeCell ref="B9:F9"/>
    <mergeCell ref="B10:B11"/>
    <mergeCell ref="C10:C11"/>
    <mergeCell ref="D10:F10"/>
    <mergeCell ref="D11:F11"/>
  </mergeCells>
  <conditionalFormatting sqref="C10">
    <cfRule type="expression" dxfId="10" priority="2">
      <formula>AND(C10&lt;&gt;"",C10&gt;=0.9)</formula>
    </cfRule>
    <cfRule type="expression" dxfId="9" priority="3">
      <formula>AND(C10&lt;&gt;"",C10&gt;=0.75,C10&lt;0.9)</formula>
    </cfRule>
    <cfRule type="expression" dxfId="8" priority="4">
      <formula>AND(C10&lt;&gt;"",C10&gt;=0.6,C10&lt;0.75)</formula>
    </cfRule>
    <cfRule type="expression" dxfId="7" priority="5">
      <formula>AND(C10&lt;&gt;"",C10&lt;0.6)</formula>
    </cfRule>
  </conditionalFormatting>
  <conditionalFormatting sqref="D11">
    <cfRule type="expression" dxfId="6" priority="6">
      <formula>AND(C10&lt;&gt;"",C10&gt;=0.9)</formula>
    </cfRule>
    <cfRule type="expression" dxfId="5" priority="7">
      <formula>AND(C10&lt;&gt;"",C10&gt;=0.75,C10&lt;0.9)</formula>
    </cfRule>
    <cfRule type="expression" dxfId="4" priority="8">
      <formula>AND(C10&lt;&gt;"",C10&gt;=0.6,C10&lt;0.75)</formula>
    </cfRule>
    <cfRule type="expression" dxfId="3" priority="9">
      <formula>AND(C10&lt;&gt;"",C10&lt;0.6)</formula>
    </cfRule>
  </conditionalFormatting>
  <conditionalFormatting sqref="F14:F21">
    <cfRule type="expression" dxfId="2" priority="10">
      <formula>AND(F14&lt;&gt;"",F14&gt;=0.9)</formula>
    </cfRule>
    <cfRule type="expression" dxfId="1" priority="11">
      <formula>AND(F14&lt;&gt;"",F14&gt;=0.6,F14&lt;0.9)</formula>
    </cfRule>
    <cfRule type="expression" dxfId="0" priority="12">
      <formula>AND(F14&lt;&gt;"",F14&lt;0.6)</formula>
    </cfRule>
  </conditionalFormatting>
  <dataValidations count="1">
    <dataValidation type="list" allowBlank="1" sqref="D25:D34 D38:D45 D49:D56 D60:D64 D68:D72 D76:D82 D86:D92 D96:D102" xr:uid="{00000000-0002-0000-0000-000000000000}">
      <formula1>"Cumple,Parcial,No cumple"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Diagnóstico Salón</vt:lpstr>
      <vt:lpstr>'Diagnóstico Salón'!Área_de_impresión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Giménez</cp:lastModifiedBy>
  <cp:revision>0</cp:revision>
  <dcterms:created xsi:type="dcterms:W3CDTF">2026-07-06T18:32:26Z</dcterms:created>
  <dcterms:modified xsi:type="dcterms:W3CDTF">2026-07-06T18:54:52Z</dcterms:modified>
  <dc:language>en-US</dc:language>
</cp:coreProperties>
</file>