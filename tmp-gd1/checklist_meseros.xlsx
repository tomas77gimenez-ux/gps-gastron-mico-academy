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EDAA89DB-2C3C-E549-B89F-301EEA4AB9A8}" xr6:coauthVersionLast="47" xr6:coauthVersionMax="47" xr10:uidLastSave="{00000000-0000-0000-0000-000000000000}"/>
  <bookViews>
    <workbookView xWindow="0" yWindow="760" windowWidth="30240" windowHeight="17640" tabRatio="500" xr2:uid="{00000000-000D-0000-FFFF-FFFF00000000}"/>
  </bookViews>
  <sheets>
    <sheet name="Checklist Meseros" sheetId="1" r:id="rId1"/>
    <sheet name="Bandas y 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B16" i="2"/>
  <c r="D16" i="2" s="1"/>
  <c r="C15" i="2"/>
  <c r="B15" i="2"/>
  <c r="D15" i="2" s="1"/>
  <c r="C14" i="2"/>
  <c r="B14" i="2"/>
  <c r="D14" i="2" s="1"/>
  <c r="D13" i="2"/>
  <c r="C13" i="2"/>
  <c r="B13" i="2"/>
  <c r="C12" i="2"/>
  <c r="B12" i="2"/>
  <c r="D12" i="2" s="1"/>
  <c r="C11" i="2"/>
  <c r="B11" i="2"/>
  <c r="D11" i="2" s="1"/>
  <c r="D8" i="1"/>
  <c r="B8" i="1"/>
  <c r="B9" i="1" s="1"/>
  <c r="C10" i="1" l="1"/>
  <c r="D9" i="1"/>
</calcChain>
</file>

<file path=xl/sharedStrings.xml><?xml version="1.0" encoding="utf-8"?>
<sst xmlns="http://schemas.openxmlformats.org/spreadsheetml/2006/main" count="103" uniqueCount="80">
  <si>
    <t>Lista de Verificación — Organigrama de Meseros</t>
  </si>
  <si>
    <t>Restaurante:</t>
  </si>
  <si>
    <t>Fecha:</t>
  </si>
  <si>
    <t>Evaluador:</t>
  </si>
  <si>
    <t>Turno / Servicio:</t>
  </si>
  <si>
    <t>RESULTADO DE LA EVALUACIÓN</t>
  </si>
  <si>
    <t>Total de respuestas SÍ</t>
  </si>
  <si>
    <t>Total de respuestas NO</t>
  </si>
  <si>
    <t>Ítems evaluados (SÍ + NO)</t>
  </si>
  <si>
    <t>% de cumplimiento</t>
  </si>
  <si>
    <t>CALIFICACIÓN FINAL</t>
  </si>
  <si>
    <t>Instrucciones: marque una X en la columna SÍ o NO de cada ítem. Deje en blanco los no aplicables (no se contabilizan). Los totales y la calificación se calculan automáticamente.</t>
  </si>
  <si>
    <t>1.  ANÁLISIS DE DEMANDA Y HORARIOS PICO</t>
  </si>
  <si>
    <t>PREGUNTA</t>
  </si>
  <si>
    <t>SÍ</t>
  </si>
  <si>
    <t>NO</t>
  </si>
  <si>
    <t>OBSERVACIONES</t>
  </si>
  <si>
    <t>¿Tenés identificados los horarios de mayor flujo (picos) de cada día de la semana?</t>
  </si>
  <si>
    <t>¿Registrás la cantidad de mesas y comensales por franja horaria?</t>
  </si>
  <si>
    <t>¿Diferenciás la demanda entre días de semana y fines de semana?</t>
  </si>
  <si>
    <t>¿Usás el histórico de ventas o reservas para anticipar la demanda?</t>
  </si>
  <si>
    <t>¿Revisás y actualizás los horarios pico de forma periódica?</t>
  </si>
  <si>
    <t>2.  RATIO Y DOTACIÓN DE MESEROS</t>
  </si>
  <si>
    <t>¿Definiste un ratio de comensales por mesero (por ejemplo, 20 por mesero)?</t>
  </si>
  <si>
    <t>¿El ratio está ajustado al tipo de servicio (rápido, casual, fine dining)?</t>
  </si>
  <si>
    <t>¿Calculás la cantidad de meseros necesarios por franja según ese ratio?</t>
  </si>
  <si>
    <t>¿Contemplás un mesero de apoyo o runner en los picos?</t>
  </si>
  <si>
    <t>¿Ajustás la dotación cuando cambia la demanda prevista?</t>
  </si>
  <si>
    <t>3.  ZONAS / ÁREAS DE ATENCIÓN</t>
  </si>
  <si>
    <t>¿El salón está dividido en zonas o áreas de atención definidas?</t>
  </si>
  <si>
    <t>¿Cada zona tiene asignada una cantidad mínima de meseros?</t>
  </si>
  <si>
    <t>¿La cantidad de mesas por zona es equilibrada y razonable?</t>
  </si>
  <si>
    <t>¿Está claro quién cubre cada zona en cada turno?</t>
  </si>
  <si>
    <t>¿Se cubren también la barra, la terraza y los sectores especiales?</t>
  </si>
  <si>
    <t>4.  ASIGNACIÓN DE PERSONAL Y NOMBRES</t>
  </si>
  <si>
    <t>¿Cada franja horaria tiene meseros asignados por nombre?</t>
  </si>
  <si>
    <t>¿El calendario de colaboradores está documentado y visible?</t>
  </si>
  <si>
    <t>¿Los meseros conocen su horario y su zona con anticipación?</t>
  </si>
  <si>
    <t>¿La carga de trabajo está repartida de forma equitativa?</t>
  </si>
  <si>
    <t>¿Se respetan los descansos y la jornada legal de cada colaborador?</t>
  </si>
  <si>
    <t>5.  EVENTOS ESPECIALES</t>
  </si>
  <si>
    <t>¿Tenés un registro de eventos especiales con fecha y horario?</t>
  </si>
  <si>
    <t>¿Calculás los meseros necesarios según la cantidad de personas del evento?</t>
  </si>
  <si>
    <t>¿Asignás meseros adicionales o refuerzos para esos eventos?</t>
  </si>
  <si>
    <t>¿Coordinás con anticipación la convocatoria del personal extra?</t>
  </si>
  <si>
    <t>¿Evaluás después del evento si la dotación fue la adecuada?</t>
  </si>
  <si>
    <t>6.  CONTINGENCIAS Y COBERTURA</t>
  </si>
  <si>
    <t>¿Existe un plan de reemplazo ante ausencias o licencias?</t>
  </si>
  <si>
    <t>¿Tenés una lista de meseros disponibles para cubrir imprevistos?</t>
  </si>
  <si>
    <t>¿El personal sabe a quién avisar ante una ausencia?</t>
  </si>
  <si>
    <t>¿Contemplás un margen de dotación para picos imprevistos?</t>
  </si>
  <si>
    <t>¿Revisás semanalmente el cumplimiento del calendario?</t>
  </si>
  <si>
    <t>BANDAS DE CALIFICACIÓN</t>
  </si>
  <si>
    <t>Calificación</t>
  </si>
  <si>
    <t>Acción</t>
  </si>
  <si>
    <t>Mayor o igual a 90%</t>
  </si>
  <si>
    <t>Excelente</t>
  </si>
  <si>
    <t>Sostener y documentar</t>
  </si>
  <si>
    <t>75% – 89%</t>
  </si>
  <si>
    <t>Muy bueno</t>
  </si>
  <si>
    <t>Ajustar pendientes</t>
  </si>
  <si>
    <t>60% – 74%</t>
  </si>
  <si>
    <t>Aceptable</t>
  </si>
  <si>
    <t>Plan de mejora</t>
  </si>
  <si>
    <t>40% – 59%</t>
  </si>
  <si>
    <t>Riesgo de mala atención</t>
  </si>
  <si>
    <t>Intervención prioritaria</t>
  </si>
  <si>
    <t>Menor a 40%</t>
  </si>
  <si>
    <t>Crítico – intervención inmediata</t>
  </si>
  <si>
    <t>Acción urgente</t>
  </si>
  <si>
    <t>RESUMEN POR CATEGORÍA</t>
  </si>
  <si>
    <t>Categoría</t>
  </si>
  <si>
    <t>% Cumpl.</t>
  </si>
  <si>
    <t>1. ANÁLISIS DE DEMANDA Y HORARIOS PICO</t>
  </si>
  <si>
    <t>2. RATIO Y DOTACIÓN DE MESEROS</t>
  </si>
  <si>
    <t>3. ZONAS / ÁREAS DE ATENCIÓN</t>
  </si>
  <si>
    <t>4. ASIGNACIÓN DE PERSONAL Y NOMBRES</t>
  </si>
  <si>
    <t>5. EVENTOS ESPECIALES</t>
  </si>
  <si>
    <t>6. CONTINGENCIAS Y COBERTURA</t>
  </si>
  <si>
    <t>MESEROS.     GPS GASTRONOMICO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</si>
</sst>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0"/>
      <color rgb="FF0A2540"/>
      <name val="Arial"/>
      <family val="2"/>
    </font>
    <font>
      <sz val="10"/>
      <color rgb="FF1A1A1A"/>
      <name val="Arial"/>
      <family val="2"/>
    </font>
    <font>
      <b/>
      <sz val="12"/>
      <color rgb="FFFFFFFF"/>
      <name val="Arial"/>
      <family val="2"/>
    </font>
    <font>
      <b/>
      <sz val="11"/>
      <color rgb="FF1A1A1A"/>
      <name val="Arial"/>
      <family val="2"/>
    </font>
    <font>
      <b/>
      <sz val="11"/>
      <color rgb="FFFFFFFF"/>
      <name val="Arial"/>
      <family val="2"/>
    </font>
    <font>
      <b/>
      <sz val="12"/>
      <color rgb="FF1A1A1A"/>
      <name val="Arial"/>
      <family val="2"/>
    </font>
    <font>
      <b/>
      <sz val="9"/>
      <color rgb="FFFFFFFF"/>
      <name val="Arial"/>
      <family val="2"/>
    </font>
    <font>
      <b/>
      <sz val="10"/>
      <color rgb="FF0F8B8D"/>
      <name val="Arial"/>
      <family val="2"/>
    </font>
    <font>
      <b/>
      <sz val="10"/>
      <color rgb="FFC0392B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  <font>
      <b/>
      <sz val="18"/>
      <color rgb="FF0F8B8D"/>
      <name val="Arial"/>
      <family val="2"/>
    </font>
    <font>
      <sz val="16"/>
      <color theme="1"/>
      <name val="Calibri"/>
      <family val="2"/>
      <charset val="1"/>
    </font>
    <font>
      <b/>
      <sz val="16"/>
      <color rgb="FF0A2540"/>
      <name val="Arial"/>
      <family val="2"/>
    </font>
    <font>
      <sz val="16"/>
      <color rgb="FF1A1A1A"/>
      <name val="Arial"/>
      <family val="2"/>
    </font>
    <font>
      <i/>
      <sz val="12"/>
      <color rgb="FF5A6B7B"/>
      <name val="Arial"/>
      <family val="2"/>
    </font>
    <font>
      <b/>
      <sz val="16"/>
      <color rgb="FFFFFFFF"/>
      <name val="Arial"/>
      <family val="2"/>
    </font>
    <font>
      <b/>
      <sz val="18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EAF2F2"/>
        <bgColor rgb="FFE6F4EE"/>
      </patternFill>
    </fill>
    <fill>
      <patternFill patternType="solid">
        <fgColor rgb="FF0F8B8D"/>
        <bgColor rgb="FF1E8449"/>
      </patternFill>
    </fill>
    <fill>
      <patternFill patternType="solid">
        <fgColor rgb="FF5A6B7B"/>
        <bgColor rgb="FF808080"/>
      </patternFill>
    </fill>
    <fill>
      <patternFill patternType="solid">
        <fgColor rgb="FFFFFFFF"/>
        <bgColor rgb="FFFBF3DA"/>
      </patternFill>
    </fill>
    <fill>
      <patternFill patternType="solid">
        <fgColor rgb="FFDCF1E6"/>
        <bgColor rgb="FFE6F4EE"/>
      </patternFill>
    </fill>
    <fill>
      <patternFill patternType="solid">
        <fgColor rgb="FFE6F4EE"/>
        <bgColor rgb="FFEAF2F2"/>
      </patternFill>
    </fill>
    <fill>
      <patternFill patternType="solid">
        <fgColor rgb="FFFBF3DA"/>
        <bgColor rgb="FFEAF2F2"/>
      </patternFill>
    </fill>
    <fill>
      <patternFill patternType="solid">
        <fgColor rgb="FFFBE3D4"/>
        <bgColor rgb="FFF7D7D7"/>
      </patternFill>
    </fill>
    <fill>
      <patternFill patternType="solid">
        <fgColor rgb="FFF7D7D7"/>
        <bgColor rgb="FFFBE3D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rgb="FFC7D2D9"/>
      </left>
      <right style="thin">
        <color rgb="FFC7D2D9"/>
      </right>
      <top style="thin">
        <color rgb="FFC7D2D9"/>
      </top>
      <bottom style="thin">
        <color rgb="FFC7D2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C7D2D9"/>
      </left>
      <right style="thin">
        <color rgb="FFC7D2D9"/>
      </right>
      <top style="medium">
        <color indexed="64"/>
      </top>
      <bottom style="thin">
        <color rgb="FFC7D2D9"/>
      </bottom>
      <diagonal/>
    </border>
    <border>
      <left/>
      <right/>
      <top style="medium">
        <color indexed="64"/>
      </top>
      <bottom/>
      <diagonal/>
    </border>
    <border>
      <left style="thin">
        <color rgb="FFC7D2D9"/>
      </left>
      <right style="medium">
        <color indexed="64"/>
      </right>
      <top style="medium">
        <color indexed="64"/>
      </top>
      <bottom style="thin">
        <color rgb="FFC7D2D9"/>
      </bottom>
      <diagonal/>
    </border>
    <border>
      <left style="medium">
        <color indexed="64"/>
      </left>
      <right/>
      <top/>
      <bottom/>
      <diagonal/>
    </border>
    <border>
      <left style="thin">
        <color rgb="FFC7D2D9"/>
      </left>
      <right style="medium">
        <color indexed="64"/>
      </right>
      <top style="thin">
        <color rgb="FFC7D2D9"/>
      </top>
      <bottom style="thin">
        <color rgb="FFC7D2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7D2D9"/>
      </left>
      <right style="thin">
        <color rgb="FFC7D2D9"/>
      </right>
      <top style="thin">
        <color rgb="FFC7D2D9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7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5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0" xfId="0" applyFont="1" applyBorder="1" applyAlignment="1">
      <alignment horizontal="left" vertic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" fillId="3" borderId="14" xfId="0" applyFont="1" applyFill="1" applyBorder="1" applyAlignment="1">
      <alignment horizontal="right" vertical="center"/>
    </xf>
    <xf numFmtId="164" fontId="4" fillId="0" borderId="1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left" vertical="center"/>
    </xf>
    <xf numFmtId="0" fontId="18" fillId="13" borderId="4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sz val="12"/>
        <color rgb="FFFFFFFF"/>
        <name val="Arial"/>
        <charset val="1"/>
      </font>
      <fill>
        <patternFill>
          <bgColor rgb="FFC0392B"/>
        </patternFill>
      </fill>
    </dxf>
    <dxf>
      <font>
        <b/>
        <sz val="12"/>
        <color rgb="FFFFFFFF"/>
        <name val="Arial"/>
        <charset val="1"/>
      </font>
      <fill>
        <patternFill>
          <bgColor rgb="FFE67E22"/>
        </patternFill>
      </fill>
    </dxf>
    <dxf>
      <font>
        <b/>
        <sz val="12"/>
        <color rgb="FFFFFFFF"/>
        <name val="Arial"/>
        <charset val="1"/>
      </font>
      <fill>
        <patternFill>
          <bgColor rgb="FFC9A227"/>
        </patternFill>
      </fill>
    </dxf>
    <dxf>
      <font>
        <b/>
        <sz val="12"/>
        <color rgb="FFFFFFFF"/>
        <name val="Arial"/>
        <charset val="1"/>
      </font>
      <fill>
        <patternFill>
          <bgColor rgb="FF27AE60"/>
        </patternFill>
      </fill>
    </dxf>
    <dxf>
      <font>
        <b/>
        <sz val="12"/>
        <color rgb="FFFFFFFF"/>
        <name val="Arial"/>
        <charset val="1"/>
      </font>
      <fill>
        <patternFill>
          <bgColor rgb="FF1E844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0C0C0"/>
      <rgbColor rgb="FF808080"/>
      <rgbColor rgb="FF9999FF"/>
      <rgbColor rgb="FF993366"/>
      <rgbColor rgb="FFFBF3DA"/>
      <rgbColor rgb="FFDCF1E6"/>
      <rgbColor rgb="FF660066"/>
      <rgbColor rgb="FFFF8080"/>
      <rgbColor rgb="FF0066CC"/>
      <rgbColor rgb="FFC7D2D9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E6F4EE"/>
      <rgbColor rgb="FFEAF2F2"/>
      <rgbColor rgb="FFFBE3D4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E67E22"/>
      <rgbColor rgb="FF5A6B7B"/>
      <rgbColor rgb="FF969696"/>
      <rgbColor rgb="FF0A2540"/>
      <rgbColor rgb="FF27AE60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abSelected="1" zoomScaleNormal="100" workbookViewId="0">
      <pane ySplit="12" topLeftCell="A13" activePane="bottomLeft" state="frozen"/>
      <selection pane="bottomLeft" sqref="A1:D1"/>
    </sheetView>
  </sheetViews>
  <sheetFormatPr baseColWidth="10" defaultColWidth="8.6640625" defaultRowHeight="15" x14ac:dyDescent="0.2"/>
  <cols>
    <col min="1" max="1" width="78" customWidth="1"/>
    <col min="2" max="3" width="7" customWidth="1"/>
    <col min="4" max="4" width="42" customWidth="1"/>
  </cols>
  <sheetData>
    <row r="1" spans="1:4" ht="70" customHeight="1" thickBot="1" x14ac:dyDescent="0.25">
      <c r="A1" s="55" t="s">
        <v>79</v>
      </c>
      <c r="B1" s="56"/>
      <c r="C1" s="56"/>
      <c r="D1" s="57"/>
    </row>
    <row r="2" spans="1:4" ht="23" x14ac:dyDescent="0.2">
      <c r="A2" s="42" t="s">
        <v>0</v>
      </c>
      <c r="B2" s="42"/>
      <c r="C2" s="42"/>
      <c r="D2" s="42"/>
    </row>
    <row r="3" spans="1:4" ht="22" thickBot="1" x14ac:dyDescent="0.3">
      <c r="A3" s="28"/>
      <c r="B3" s="28"/>
      <c r="C3" s="28"/>
      <c r="D3" s="28"/>
    </row>
    <row r="4" spans="1:4" ht="20" x14ac:dyDescent="0.2">
      <c r="A4" s="30" t="s">
        <v>1</v>
      </c>
      <c r="B4" s="31"/>
      <c r="C4" s="32" t="s">
        <v>2</v>
      </c>
      <c r="D4" s="33"/>
    </row>
    <row r="5" spans="1:4" ht="20" x14ac:dyDescent="0.2">
      <c r="A5" s="34" t="s">
        <v>3</v>
      </c>
      <c r="B5" s="29"/>
      <c r="C5" s="35" t="s">
        <v>4</v>
      </c>
      <c r="D5" s="36"/>
    </row>
    <row r="6" spans="1:4" ht="22" thickBot="1" x14ac:dyDescent="0.3">
      <c r="A6" s="37"/>
      <c r="B6" s="38"/>
      <c r="C6" s="38"/>
      <c r="D6" s="39"/>
    </row>
    <row r="7" spans="1:4" ht="34" customHeight="1" x14ac:dyDescent="0.2">
      <c r="A7" s="43" t="s">
        <v>5</v>
      </c>
      <c r="B7" s="43"/>
      <c r="C7" s="43"/>
      <c r="D7" s="43"/>
    </row>
    <row r="8" spans="1:4" x14ac:dyDescent="0.2">
      <c r="A8" s="2" t="s">
        <v>6</v>
      </c>
      <c r="B8" s="3">
        <f>COUNTIF(B16:B60,"X")</f>
        <v>0</v>
      </c>
      <c r="C8" s="4" t="s">
        <v>7</v>
      </c>
      <c r="D8" s="3">
        <f>COUNTIF(C16:C60,"X")</f>
        <v>0</v>
      </c>
    </row>
    <row r="9" spans="1:4" ht="16" thickBot="1" x14ac:dyDescent="0.25">
      <c r="A9" s="2" t="s">
        <v>8</v>
      </c>
      <c r="B9" s="3">
        <f>B8+D8</f>
        <v>0</v>
      </c>
      <c r="C9" s="40" t="s">
        <v>9</v>
      </c>
      <c r="D9" s="41">
        <f>IFERROR(B8/B9,0)</f>
        <v>0</v>
      </c>
    </row>
    <row r="10" spans="1:4" ht="25.5" customHeight="1" thickBot="1" x14ac:dyDescent="0.25">
      <c r="A10" s="44" t="s">
        <v>10</v>
      </c>
      <c r="B10" s="44"/>
      <c r="C10" s="45" t="str">
        <f>IF(B9=0,"Sin datos",IF(D9&gt;=0.9,"EXCELENTE",IF(D9&gt;=0.75,"MUY BUENO",IF(D9&gt;=0.6,"ACEPTABLE",IF(D9&gt;=0.4,"RIESGO DE PÉRDIDA DE RENTABILIDAD","SERVICIO CRÍTICO – INTERVENCIÓN INMEDIATA")))))</f>
        <v>Sin datos</v>
      </c>
      <c r="D10" s="46"/>
    </row>
    <row r="12" spans="1:4" ht="27.75" customHeight="1" x14ac:dyDescent="0.2">
      <c r="A12" s="48" t="s">
        <v>11</v>
      </c>
      <c r="B12" s="48"/>
      <c r="C12" s="48"/>
      <c r="D12" s="48"/>
    </row>
    <row r="14" spans="1:4" ht="36" customHeight="1" x14ac:dyDescent="0.2">
      <c r="A14" s="47" t="s">
        <v>12</v>
      </c>
      <c r="B14" s="47"/>
      <c r="C14" s="47"/>
      <c r="D14" s="47"/>
    </row>
    <row r="15" spans="1:4" x14ac:dyDescent="0.2">
      <c r="A15" s="1" t="s">
        <v>13</v>
      </c>
      <c r="B15" s="5" t="s">
        <v>14</v>
      </c>
      <c r="C15" s="5" t="s">
        <v>15</v>
      </c>
      <c r="D15" s="5" t="s">
        <v>16</v>
      </c>
    </row>
    <row r="16" spans="1:4" x14ac:dyDescent="0.2">
      <c r="A16" s="6" t="s">
        <v>17</v>
      </c>
      <c r="B16" s="7"/>
      <c r="C16" s="8"/>
      <c r="D16" s="6"/>
    </row>
    <row r="17" spans="1:4" x14ac:dyDescent="0.2">
      <c r="A17" s="9" t="s">
        <v>18</v>
      </c>
      <c r="B17" s="10"/>
      <c r="C17" s="11"/>
      <c r="D17" s="9"/>
    </row>
    <row r="18" spans="1:4" x14ac:dyDescent="0.2">
      <c r="A18" s="6" t="s">
        <v>19</v>
      </c>
      <c r="B18" s="7"/>
      <c r="C18" s="8"/>
      <c r="D18" s="6"/>
    </row>
    <row r="19" spans="1:4" x14ac:dyDescent="0.2">
      <c r="A19" s="9" t="s">
        <v>20</v>
      </c>
      <c r="B19" s="10"/>
      <c r="C19" s="11"/>
      <c r="D19" s="9"/>
    </row>
    <row r="20" spans="1:4" x14ac:dyDescent="0.2">
      <c r="A20" s="6" t="s">
        <v>21</v>
      </c>
      <c r="B20" s="7"/>
      <c r="C20" s="8"/>
      <c r="D20" s="6"/>
    </row>
    <row r="22" spans="1:4" ht="36" customHeight="1" x14ac:dyDescent="0.2">
      <c r="A22" s="47" t="s">
        <v>22</v>
      </c>
      <c r="B22" s="47"/>
      <c r="C22" s="47"/>
      <c r="D22" s="47"/>
    </row>
    <row r="23" spans="1:4" x14ac:dyDescent="0.2">
      <c r="A23" s="1" t="s">
        <v>13</v>
      </c>
      <c r="B23" s="5" t="s">
        <v>14</v>
      </c>
      <c r="C23" s="5" t="s">
        <v>15</v>
      </c>
      <c r="D23" s="5" t="s">
        <v>16</v>
      </c>
    </row>
    <row r="24" spans="1:4" x14ac:dyDescent="0.2">
      <c r="A24" s="6" t="s">
        <v>23</v>
      </c>
      <c r="B24" s="7"/>
      <c r="C24" s="8"/>
      <c r="D24" s="6"/>
    </row>
    <row r="25" spans="1:4" x14ac:dyDescent="0.2">
      <c r="A25" s="9" t="s">
        <v>24</v>
      </c>
      <c r="B25" s="10"/>
      <c r="C25" s="11"/>
      <c r="D25" s="9"/>
    </row>
    <row r="26" spans="1:4" x14ac:dyDescent="0.2">
      <c r="A26" s="6" t="s">
        <v>25</v>
      </c>
      <c r="B26" s="7"/>
      <c r="C26" s="8"/>
      <c r="D26" s="6"/>
    </row>
    <row r="27" spans="1:4" x14ac:dyDescent="0.2">
      <c r="A27" s="9" t="s">
        <v>26</v>
      </c>
      <c r="B27" s="10"/>
      <c r="C27" s="11"/>
      <c r="D27" s="9"/>
    </row>
    <row r="28" spans="1:4" x14ac:dyDescent="0.2">
      <c r="A28" s="6" t="s">
        <v>27</v>
      </c>
      <c r="B28" s="7"/>
      <c r="C28" s="8"/>
      <c r="D28" s="6"/>
    </row>
    <row r="30" spans="1:4" ht="32" customHeight="1" x14ac:dyDescent="0.2">
      <c r="A30" s="47" t="s">
        <v>28</v>
      </c>
      <c r="B30" s="47"/>
      <c r="C30" s="47"/>
      <c r="D30" s="47"/>
    </row>
    <row r="31" spans="1:4" x14ac:dyDescent="0.2">
      <c r="A31" s="1" t="s">
        <v>13</v>
      </c>
      <c r="B31" s="5" t="s">
        <v>14</v>
      </c>
      <c r="C31" s="5" t="s">
        <v>15</v>
      </c>
      <c r="D31" s="5" t="s">
        <v>16</v>
      </c>
    </row>
    <row r="32" spans="1:4" x14ac:dyDescent="0.2">
      <c r="A32" s="6" t="s">
        <v>29</v>
      </c>
      <c r="B32" s="7"/>
      <c r="C32" s="8"/>
      <c r="D32" s="6"/>
    </row>
    <row r="33" spans="1:4" x14ac:dyDescent="0.2">
      <c r="A33" s="9" t="s">
        <v>30</v>
      </c>
      <c r="B33" s="10"/>
      <c r="C33" s="11"/>
      <c r="D33" s="9"/>
    </row>
    <row r="34" spans="1:4" x14ac:dyDescent="0.2">
      <c r="A34" s="6" t="s">
        <v>31</v>
      </c>
      <c r="B34" s="7"/>
      <c r="C34" s="8"/>
      <c r="D34" s="6"/>
    </row>
    <row r="35" spans="1:4" x14ac:dyDescent="0.2">
      <c r="A35" s="9" t="s">
        <v>32</v>
      </c>
      <c r="B35" s="10"/>
      <c r="C35" s="11"/>
      <c r="D35" s="9"/>
    </row>
    <row r="36" spans="1:4" x14ac:dyDescent="0.2">
      <c r="A36" s="6" t="s">
        <v>33</v>
      </c>
      <c r="B36" s="7"/>
      <c r="C36" s="8"/>
      <c r="D36" s="6"/>
    </row>
    <row r="38" spans="1:4" ht="34" customHeight="1" x14ac:dyDescent="0.2">
      <c r="A38" s="47" t="s">
        <v>34</v>
      </c>
      <c r="B38" s="47"/>
      <c r="C38" s="47"/>
      <c r="D38" s="47"/>
    </row>
    <row r="39" spans="1:4" x14ac:dyDescent="0.2">
      <c r="A39" s="1" t="s">
        <v>13</v>
      </c>
      <c r="B39" s="5" t="s">
        <v>14</v>
      </c>
      <c r="C39" s="5" t="s">
        <v>15</v>
      </c>
      <c r="D39" s="5" t="s">
        <v>16</v>
      </c>
    </row>
    <row r="40" spans="1:4" x14ac:dyDescent="0.2">
      <c r="A40" s="6" t="s">
        <v>35</v>
      </c>
      <c r="B40" s="7"/>
      <c r="C40" s="8"/>
      <c r="D40" s="6"/>
    </row>
    <row r="41" spans="1:4" x14ac:dyDescent="0.2">
      <c r="A41" s="9" t="s">
        <v>36</v>
      </c>
      <c r="B41" s="10"/>
      <c r="C41" s="11"/>
      <c r="D41" s="9"/>
    </row>
    <row r="42" spans="1:4" x14ac:dyDescent="0.2">
      <c r="A42" s="6" t="s">
        <v>37</v>
      </c>
      <c r="B42" s="7"/>
      <c r="C42" s="8"/>
      <c r="D42" s="6"/>
    </row>
    <row r="43" spans="1:4" x14ac:dyDescent="0.2">
      <c r="A43" s="9" t="s">
        <v>38</v>
      </c>
      <c r="B43" s="10"/>
      <c r="C43" s="11"/>
      <c r="D43" s="9"/>
    </row>
    <row r="44" spans="1:4" x14ac:dyDescent="0.2">
      <c r="A44" s="6" t="s">
        <v>39</v>
      </c>
      <c r="B44" s="7"/>
      <c r="C44" s="8"/>
      <c r="D44" s="6"/>
    </row>
    <row r="46" spans="1:4" ht="34" customHeight="1" x14ac:dyDescent="0.2">
      <c r="A46" s="47" t="s">
        <v>40</v>
      </c>
      <c r="B46" s="47"/>
      <c r="C46" s="47"/>
      <c r="D46" s="47"/>
    </row>
    <row r="47" spans="1:4" x14ac:dyDescent="0.2">
      <c r="A47" s="1" t="s">
        <v>13</v>
      </c>
      <c r="B47" s="5" t="s">
        <v>14</v>
      </c>
      <c r="C47" s="5" t="s">
        <v>15</v>
      </c>
      <c r="D47" s="5" t="s">
        <v>16</v>
      </c>
    </row>
    <row r="48" spans="1:4" x14ac:dyDescent="0.2">
      <c r="A48" s="6" t="s">
        <v>41</v>
      </c>
      <c r="B48" s="7"/>
      <c r="C48" s="8"/>
      <c r="D48" s="6"/>
    </row>
    <row r="49" spans="1:4" x14ac:dyDescent="0.2">
      <c r="A49" s="9" t="s">
        <v>42</v>
      </c>
      <c r="B49" s="10"/>
      <c r="C49" s="11"/>
      <c r="D49" s="9"/>
    </row>
    <row r="50" spans="1:4" x14ac:dyDescent="0.2">
      <c r="A50" s="6" t="s">
        <v>43</v>
      </c>
      <c r="B50" s="7"/>
      <c r="C50" s="8"/>
      <c r="D50" s="6"/>
    </row>
    <row r="51" spans="1:4" x14ac:dyDescent="0.2">
      <c r="A51" s="9" t="s">
        <v>44</v>
      </c>
      <c r="B51" s="10"/>
      <c r="C51" s="11"/>
      <c r="D51" s="9"/>
    </row>
    <row r="52" spans="1:4" x14ac:dyDescent="0.2">
      <c r="A52" s="6" t="s">
        <v>45</v>
      </c>
      <c r="B52" s="7"/>
      <c r="C52" s="8"/>
      <c r="D52" s="6"/>
    </row>
    <row r="54" spans="1:4" ht="36" customHeight="1" x14ac:dyDescent="0.2">
      <c r="A54" s="47" t="s">
        <v>46</v>
      </c>
      <c r="B54" s="47"/>
      <c r="C54" s="47"/>
      <c r="D54" s="47"/>
    </row>
    <row r="55" spans="1:4" x14ac:dyDescent="0.2">
      <c r="A55" s="1" t="s">
        <v>13</v>
      </c>
      <c r="B55" s="5" t="s">
        <v>14</v>
      </c>
      <c r="C55" s="5" t="s">
        <v>15</v>
      </c>
      <c r="D55" s="5" t="s">
        <v>16</v>
      </c>
    </row>
    <row r="56" spans="1:4" x14ac:dyDescent="0.2">
      <c r="A56" s="6" t="s">
        <v>47</v>
      </c>
      <c r="B56" s="7"/>
      <c r="C56" s="8"/>
      <c r="D56" s="6"/>
    </row>
    <row r="57" spans="1:4" x14ac:dyDescent="0.2">
      <c r="A57" s="9" t="s">
        <v>48</v>
      </c>
      <c r="B57" s="10"/>
      <c r="C57" s="11"/>
      <c r="D57" s="9"/>
    </row>
    <row r="58" spans="1:4" x14ac:dyDescent="0.2">
      <c r="A58" s="6" t="s">
        <v>49</v>
      </c>
      <c r="B58" s="7"/>
      <c r="C58" s="8"/>
      <c r="D58" s="6"/>
    </row>
    <row r="59" spans="1:4" x14ac:dyDescent="0.2">
      <c r="A59" s="9" t="s">
        <v>50</v>
      </c>
      <c r="B59" s="10"/>
      <c r="C59" s="11"/>
      <c r="D59" s="9"/>
    </row>
    <row r="60" spans="1:4" x14ac:dyDescent="0.2">
      <c r="A60" s="6" t="s">
        <v>51</v>
      </c>
      <c r="B60" s="7"/>
      <c r="C60" s="8"/>
      <c r="D60" s="6"/>
    </row>
  </sheetData>
  <mergeCells count="12">
    <mergeCell ref="A46:D46"/>
    <mergeCell ref="A54:D54"/>
    <mergeCell ref="A12:D12"/>
    <mergeCell ref="A14:D14"/>
    <mergeCell ref="A22:D22"/>
    <mergeCell ref="A30:D30"/>
    <mergeCell ref="A38:D38"/>
    <mergeCell ref="A1:D1"/>
    <mergeCell ref="A2:D2"/>
    <mergeCell ref="A7:D7"/>
    <mergeCell ref="A10:B10"/>
    <mergeCell ref="C10:D10"/>
  </mergeCells>
  <conditionalFormatting sqref="C10:D10">
    <cfRule type="expression" dxfId="4" priority="2">
      <formula>EXACT($C$10,"EXCELENTE")</formula>
    </cfRule>
    <cfRule type="expression" dxfId="3" priority="3">
      <formula>EXACT($C$10,"MUY BUENO")</formula>
    </cfRule>
    <cfRule type="expression" dxfId="2" priority="4">
      <formula>EXACT($C$10,"ACEPTABLE")</formula>
    </cfRule>
    <cfRule type="expression" dxfId="1" priority="5">
      <formula>EXACT($C$10,"RIESGO DE PÉRDIDA DE RENTABILIDAD")</formula>
    </cfRule>
    <cfRule type="expression" dxfId="0" priority="6">
      <formula>EXACT($C$10,"SERVICIO CRÍTICO – INTERVENCIÓN INMEDIATA")</formula>
    </cfRule>
  </conditionalFormatting>
  <dataValidations count="1">
    <dataValidation type="list" allowBlank="1" sqref="B16:C20 B24:C28 B32:C36 B40:C44 B48:C52 B56:C60" xr:uid="{00000000-0002-0000-0000-000000000000}">
      <formula1>"X"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3" width="10" customWidth="1"/>
    <col min="4" max="4" width="14" customWidth="1"/>
  </cols>
  <sheetData>
    <row r="1" spans="1:4" ht="19.5" customHeight="1" x14ac:dyDescent="0.2">
      <c r="A1" s="43" t="s">
        <v>52</v>
      </c>
      <c r="B1" s="43"/>
      <c r="C1" s="43"/>
      <c r="D1" s="43"/>
    </row>
    <row r="2" spans="1:4" x14ac:dyDescent="0.2">
      <c r="A2" s="1" t="s">
        <v>9</v>
      </c>
      <c r="B2" s="51" t="s">
        <v>53</v>
      </c>
      <c r="C2" s="51"/>
      <c r="D2" s="5" t="s">
        <v>54</v>
      </c>
    </row>
    <row r="3" spans="1:4" x14ac:dyDescent="0.2">
      <c r="A3" s="12" t="s">
        <v>55</v>
      </c>
      <c r="B3" s="52" t="s">
        <v>56</v>
      </c>
      <c r="C3" s="52"/>
      <c r="D3" s="13" t="s">
        <v>57</v>
      </c>
    </row>
    <row r="4" spans="1:4" x14ac:dyDescent="0.2">
      <c r="A4" s="14" t="s">
        <v>58</v>
      </c>
      <c r="B4" s="53" t="s">
        <v>59</v>
      </c>
      <c r="C4" s="53"/>
      <c r="D4" s="15" t="s">
        <v>60</v>
      </c>
    </row>
    <row r="5" spans="1:4" x14ac:dyDescent="0.2">
      <c r="A5" s="16" t="s">
        <v>61</v>
      </c>
      <c r="B5" s="54" t="s">
        <v>62</v>
      </c>
      <c r="C5" s="54"/>
      <c r="D5" s="17" t="s">
        <v>63</v>
      </c>
    </row>
    <row r="6" spans="1:4" x14ac:dyDescent="0.2">
      <c r="A6" s="18" t="s">
        <v>64</v>
      </c>
      <c r="B6" s="49" t="s">
        <v>65</v>
      </c>
      <c r="C6" s="49"/>
      <c r="D6" s="19" t="s">
        <v>66</v>
      </c>
    </row>
    <row r="7" spans="1:4" x14ac:dyDescent="0.2">
      <c r="A7" s="20" t="s">
        <v>67</v>
      </c>
      <c r="B7" s="50" t="s">
        <v>68</v>
      </c>
      <c r="C7" s="50"/>
      <c r="D7" s="21" t="s">
        <v>69</v>
      </c>
    </row>
    <row r="9" spans="1:4" ht="19.5" customHeight="1" x14ac:dyDescent="0.2">
      <c r="A9" s="43" t="s">
        <v>70</v>
      </c>
      <c r="B9" s="43"/>
      <c r="C9" s="43"/>
      <c r="D9" s="43"/>
    </row>
    <row r="10" spans="1:4" x14ac:dyDescent="0.2">
      <c r="A10" s="1" t="s">
        <v>71</v>
      </c>
      <c r="B10" s="5" t="s">
        <v>14</v>
      </c>
      <c r="C10" s="5" t="s">
        <v>15</v>
      </c>
      <c r="D10" s="5" t="s">
        <v>72</v>
      </c>
    </row>
    <row r="11" spans="1:4" x14ac:dyDescent="0.2">
      <c r="A11" s="22" t="s">
        <v>73</v>
      </c>
      <c r="B11" s="23">
        <f>COUNTIF('Checklist Meseros'!B16:B20,"X")</f>
        <v>0</v>
      </c>
      <c r="C11" s="23">
        <f>COUNTIF('Checklist Meseros'!C16:C20,"X")</f>
        <v>0</v>
      </c>
      <c r="D11" s="24" t="str">
        <f t="shared" ref="D11:D16" si="0">IFERROR(B11/(B11+C11),"-")</f>
        <v>-</v>
      </c>
    </row>
    <row r="12" spans="1:4" x14ac:dyDescent="0.2">
      <c r="A12" s="25" t="s">
        <v>74</v>
      </c>
      <c r="B12" s="26">
        <f>COUNTIF('Checklist Meseros'!B24:B28,"X")</f>
        <v>0</v>
      </c>
      <c r="C12" s="26">
        <f>COUNTIF('Checklist Meseros'!C24:C28,"X")</f>
        <v>0</v>
      </c>
      <c r="D12" s="27" t="str">
        <f t="shared" si="0"/>
        <v>-</v>
      </c>
    </row>
    <row r="13" spans="1:4" x14ac:dyDescent="0.2">
      <c r="A13" s="22" t="s">
        <v>75</v>
      </c>
      <c r="B13" s="23">
        <f>COUNTIF('Checklist Meseros'!B32:B36,"X")</f>
        <v>0</v>
      </c>
      <c r="C13" s="23">
        <f>COUNTIF('Checklist Meseros'!C32:C36,"X")</f>
        <v>0</v>
      </c>
      <c r="D13" s="24" t="str">
        <f t="shared" si="0"/>
        <v>-</v>
      </c>
    </row>
    <row r="14" spans="1:4" x14ac:dyDescent="0.2">
      <c r="A14" s="25" t="s">
        <v>76</v>
      </c>
      <c r="B14" s="26">
        <f>COUNTIF('Checklist Meseros'!B40:B44,"X")</f>
        <v>0</v>
      </c>
      <c r="C14" s="26">
        <f>COUNTIF('Checklist Meseros'!C40:C44,"X")</f>
        <v>0</v>
      </c>
      <c r="D14" s="27" t="str">
        <f t="shared" si="0"/>
        <v>-</v>
      </c>
    </row>
    <row r="15" spans="1:4" x14ac:dyDescent="0.2">
      <c r="A15" s="22" t="s">
        <v>77</v>
      </c>
      <c r="B15" s="23">
        <f>COUNTIF('Checklist Meseros'!B48:B52,"X")</f>
        <v>0</v>
      </c>
      <c r="C15" s="23">
        <f>COUNTIF('Checklist Meseros'!C48:C52,"X")</f>
        <v>0</v>
      </c>
      <c r="D15" s="24" t="str">
        <f t="shared" si="0"/>
        <v>-</v>
      </c>
    </row>
    <row r="16" spans="1:4" x14ac:dyDescent="0.2">
      <c r="A16" s="25" t="s">
        <v>78</v>
      </c>
      <c r="B16" s="26">
        <f>COUNTIF('Checklist Meseros'!B56:B60,"X")</f>
        <v>0</v>
      </c>
      <c r="C16" s="26">
        <f>COUNTIF('Checklist Meseros'!C56:C60,"X")</f>
        <v>0</v>
      </c>
      <c r="D16" s="27" t="str">
        <f t="shared" si="0"/>
        <v>-</v>
      </c>
    </row>
  </sheetData>
  <mergeCells count="8">
    <mergeCell ref="B6:C6"/>
    <mergeCell ref="B7:C7"/>
    <mergeCell ref="A9:D9"/>
    <mergeCell ref="A1:D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Meseros</vt:lpstr>
      <vt:lpstr>Bandas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2026-06-16T12:26:28Z</dcterms:created>
  <dcterms:modified xsi:type="dcterms:W3CDTF">2026-07-06T15:51:57Z</dcterms:modified>
  <dc:language>en-US</dc:language>
</cp:coreProperties>
</file>