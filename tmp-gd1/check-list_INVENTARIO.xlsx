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A44AF037-CCF8-824F-98B0-FC234A565C69}" xr6:coauthVersionLast="47" xr6:coauthVersionMax="47" xr10:uidLastSave="{00000000-0000-0000-0000-000000000000}"/>
  <bookViews>
    <workbookView xWindow="0" yWindow="760" windowWidth="30240" windowHeight="17640" tabRatio="500" xr2:uid="{00000000-000D-0000-FFFF-FFFF00000000}"/>
  </bookViews>
  <sheets>
    <sheet name="Checklist Inventario" sheetId="1" r:id="rId1"/>
    <sheet name="Bandas y 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2" l="1"/>
  <c r="B25" i="2"/>
  <c r="D25" i="2" s="1"/>
  <c r="C24" i="2"/>
  <c r="B24" i="2"/>
  <c r="D24" i="2" s="1"/>
  <c r="C23" i="2"/>
  <c r="D23" i="2" s="1"/>
  <c r="B23" i="2"/>
  <c r="C22" i="2"/>
  <c r="B22" i="2"/>
  <c r="D22" i="2" s="1"/>
  <c r="C21" i="2"/>
  <c r="B21" i="2"/>
  <c r="D21" i="2" s="1"/>
  <c r="C20" i="2"/>
  <c r="B20" i="2"/>
  <c r="D20" i="2" s="1"/>
  <c r="D19" i="2"/>
  <c r="C19" i="2"/>
  <c r="B19" i="2"/>
  <c r="C18" i="2"/>
  <c r="B18" i="2"/>
  <c r="D18" i="2" s="1"/>
  <c r="C17" i="2"/>
  <c r="B17" i="2"/>
  <c r="D17" i="2" s="1"/>
  <c r="C16" i="2"/>
  <c r="B16" i="2"/>
  <c r="D16" i="2" s="1"/>
  <c r="C15" i="2"/>
  <c r="B15" i="2"/>
  <c r="D15" i="2" s="1"/>
  <c r="C14" i="2"/>
  <c r="B14" i="2"/>
  <c r="D14" i="2" s="1"/>
  <c r="C13" i="2"/>
  <c r="B13" i="2"/>
  <c r="D13" i="2" s="1"/>
  <c r="D12" i="2"/>
  <c r="C12" i="2"/>
  <c r="B12" i="2"/>
  <c r="C11" i="2"/>
  <c r="B11" i="2"/>
  <c r="D8" i="1"/>
  <c r="B8" i="1"/>
  <c r="B9" i="1" l="1"/>
  <c r="D11" i="2"/>
  <c r="D9" i="1"/>
  <c r="C10" i="1" s="1"/>
</calcChain>
</file>

<file path=xl/sharedStrings.xml><?xml version="1.0" encoding="utf-8"?>
<sst xmlns="http://schemas.openxmlformats.org/spreadsheetml/2006/main" count="239" uniqueCount="179">
  <si>
    <t>Lista de Verificación — Módulo de Inventario de Mercadería</t>
  </si>
  <si>
    <t>Restaurante:</t>
  </si>
  <si>
    <t>Fecha:</t>
  </si>
  <si>
    <t>Evaluador:</t>
  </si>
  <si>
    <t>Turno / Servicio:</t>
  </si>
  <si>
    <t>RESULTADO DE LA EVALUACIÓN</t>
  </si>
  <si>
    <t>Total de respuestas SÍ</t>
  </si>
  <si>
    <t>Total de respuestas NO</t>
  </si>
  <si>
    <t>Ítems evaluados (SÍ + NO)</t>
  </si>
  <si>
    <t>% de cumplimiento</t>
  </si>
  <si>
    <t>CALIFICACIÓN FINAL</t>
  </si>
  <si>
    <t>Instrucciones: marque una X en la columna SÍ o NO de cada ítem. Deje en blanco los no aplicables (no se contabilizan). Los totales y la calificación se calculan automáticamente.</t>
  </si>
  <si>
    <t>1.  RECEPCIÓN DE MERCADERÍA</t>
  </si>
  <si>
    <t>PREGUNTA</t>
  </si>
  <si>
    <t>SÍ</t>
  </si>
  <si>
    <t>NO</t>
  </si>
  <si>
    <t>OBSERVACIONES</t>
  </si>
  <si>
    <t>¿Existe un responsable designado y capacitado para la recepción de mercadería?</t>
  </si>
  <si>
    <t>¿Se verifica la mercadería contra la orden de compra y el remito (ítems, cantidad y precio)?</t>
  </si>
  <si>
    <t>¿Se controla el peso de los productos recibidos (no se acepta “a ojo”)?</t>
  </si>
  <si>
    <t>¿Se inspeccionan la calidad, la frescura y el estado del empaque al recibir?</t>
  </si>
  <si>
    <t>¿Se mide y registra la temperatura de los productos refrigerados y congelados al recibir?</t>
  </si>
  <si>
    <t>¿Existe un criterio claro para rechazar mercadería que no cumple los estándares?</t>
  </si>
  <si>
    <t>¿Se respeta un horario de recepción definido (fuera de las horas pico)?</t>
  </si>
  <si>
    <t>¿La mercadería se ingresa al depósito de inmediato, sin quedar expuesta?</t>
  </si>
  <si>
    <t>¿Se documenta cada recepción (fecha, hora, responsable y firma)?</t>
  </si>
  <si>
    <t>2.  ALMACENAJE DE MERCADERÍA</t>
  </si>
  <si>
    <t>¿Cada producto tiene una ubicación fija y definida en el depósito?</t>
  </si>
  <si>
    <t>¿Los productos se almacenan separados del piso (sobre tarimas o estantes)?</t>
  </si>
  <si>
    <t>¿Se respeta la distancia respecto a las paredes para permitir la ventilación?</t>
  </si>
  <si>
    <t>¿Las estanterías son de material lavable y se encuentran en buen estado?</t>
  </si>
  <si>
    <t>¿El depósito seco se mantiene fresco, seco y ventilado?</t>
  </si>
  <si>
    <t>¿Se evita el sobre-stock que dificulta la rotación y ocupa espacio innecesario?</t>
  </si>
  <si>
    <t>¿Los productos pesados se ubican en los niveles bajos y los livianos en los altos?</t>
  </si>
  <si>
    <t>3.  CADENA DE FRÍO Y CONTROL DE TEMPERATURAS</t>
  </si>
  <si>
    <t>¿Las cámaras, heladeras y freezers tienen termómetro visible y funcional?</t>
  </si>
  <si>
    <t>¿Se registran las temperaturas de cada equipo de frío al menos dos veces por día?</t>
  </si>
  <si>
    <t>¿Las temperaturas se mantienen en rangos seguros (refrigeración ≤ 5 °C, congelación ≤ -18 °C)?</t>
  </si>
  <si>
    <t>¿Existe un plan de acción ante fallas de los equipos o cortes de energía?</t>
  </si>
  <si>
    <t>¿Se evita sobrecargar los equipos de frío para permitir la circulación de aire?</t>
  </si>
  <si>
    <t>¿Los alimentos calientes se enfrían correctamente antes de refrigerarse?</t>
  </si>
  <si>
    <t>4.  SISTEMA FIFO / PEPS (rotación)</t>
  </si>
  <si>
    <t>¿Se aplica el sistema PEPS/FIFO (lo primero que entra es lo primero que sale)?</t>
  </si>
  <si>
    <t>¿La mercadería nueva se ubica detrás de la existente?</t>
  </si>
  <si>
    <t>¿El personal está capacitado en el uso del FIFO?</t>
  </si>
  <si>
    <t>¿Se controla que no queden productos “olvidados” al fondo o en los rincones?</t>
  </si>
  <si>
    <t>¿La rotación se verifica de forma periódica por un responsable?</t>
  </si>
  <si>
    <t>5.  ROTULACIÓN E IDENTIFICACIÓN</t>
  </si>
  <si>
    <t>¿Todos los productos fraccionados o trasvasados están rotulados?</t>
  </si>
  <si>
    <t>¿El rótulo indica la fecha de recepción o de elaboración?</t>
  </si>
  <si>
    <t>¿El rótulo indica la fecha de vencimiento o de consumo preferente?</t>
  </si>
  <si>
    <t>¿Se registra la fecha de apertura en los productos una vez abiertos?</t>
  </si>
  <si>
    <t>¿Los rótulos son legibles, resistentes a la humedad y están bien adheridos?</t>
  </si>
  <si>
    <t>¿Se identifican los alérgenos en los productos cuando corresponde?</t>
  </si>
  <si>
    <t>6.  UBICACIÓN DE PRODUCTOS SEGÚN CATEGORÍA</t>
  </si>
  <si>
    <t>¿Los productos están agrupados por categoría (secos, lácteos, cárnicos, limpieza, etc.)?</t>
  </si>
  <si>
    <t>¿Los alimentos crudos se almacenan separados y por debajo de los cocidos o listos para consumo?</t>
  </si>
  <si>
    <t>¿Los productos de limpieza y los químicos se almacenan separados de los alimentos?</t>
  </si>
  <si>
    <t>¿La disposición de los productos evita la contaminación cruzada?</t>
  </si>
  <si>
    <t>¿Los alérgenos se almacenan identificados y separados del resto?</t>
  </si>
  <si>
    <t>¿La zonificación del depósito está señalizada para facilitar la ubicación?</t>
  </si>
  <si>
    <t>7.  CONTROL DE STOCK Y REGISTROS</t>
  </si>
  <si>
    <t>¿Existe un sistema (software, POS o planilla) para registrar entradas y salidas?</t>
  </si>
  <si>
    <t>¿Se definieron niveles de stock mínimo, máximo y punto de pedido por producto?</t>
  </si>
  <si>
    <t>¿Las salidas de mercadería hacia cocina y barra se registran?</t>
  </si>
  <si>
    <t>¿El stock del sistema coincide con el stock físico (sin desvíos significativos)?</t>
  </si>
  <si>
    <t>¿Se identifican los productos de mayor valor o criticidad para un control reforzado?</t>
  </si>
  <si>
    <t>¿Las compras se planifican según el consumo histórico y no por impulso?</t>
  </si>
  <si>
    <t>8.  CONTEO E INVENTARIO FÍSICO</t>
  </si>
  <si>
    <t>¿Se realiza un conteo físico con una frecuencia definida (diario, semanal o mensual según el ítem)?</t>
  </si>
  <si>
    <t>¿El conteo lo realiza, cuando es posible, una persona distinta de quien compra?</t>
  </si>
  <si>
    <t>¿Se utiliza una planilla o sistema estandarizado para el conteo?</t>
  </si>
  <si>
    <t>¿Se concilian las diferencias entre el inventario físico y el del sistema?</t>
  </si>
  <si>
    <t>¿Se investigan y documentan las diferencias relevantes?</t>
  </si>
  <si>
    <t>¿El inventario se valoriza para conocer el capital inmovilizado?</t>
  </si>
  <si>
    <t>9.  ACCIONES Y CONTROL ANTE DESVÍOS DEL INVENTARIO</t>
  </si>
  <si>
    <t>¿Se investigan de forma inmediata las diferencias detectadas entre el stock físico y el del sistema?</t>
  </si>
  <si>
    <t>¿Se identifica al responsable del área o del turno donde se originó la falla?</t>
  </si>
  <si>
    <t>¿Se advierte al responsable y se da seguimiento al cumplimiento del proceso?</t>
  </si>
  <si>
    <t>¿Existe un plan de acción correctivo definido ante un desvío relevante?</t>
  </si>
  <si>
    <t>¿Las acciones correctivas se documentan y se verifica su cumplimiento posterior?</t>
  </si>
  <si>
    <t>¿Existe un calendario organizado de conteo físico para cada categoría de mercadería?</t>
  </si>
  <si>
    <t>¿Se realizan inventarios parciales o especiales, en tiempo y forma, ante fallas en categorías críticas (proteínas, alcohol)?</t>
  </si>
  <si>
    <t>¿El dueño o encargado conoce los niveles de stock mínimo y máximo de cada categoría?</t>
  </si>
  <si>
    <t>¿Se definen umbrales de desvío aceptables y se actúa cuando se superan?</t>
  </si>
  <si>
    <t>¿Las fallas recurrentes derivan en ajustes de proceso o capacitación del personal?</t>
  </si>
  <si>
    <t>10.  MERMAS, VENCIMIENTOS Y DESPERDICIO</t>
  </si>
  <si>
    <t>¿Se controlan periódicamente los productos próximos a vencer?</t>
  </si>
  <si>
    <t>¿Existe un registro de mermas, roturas y desperdicios?</t>
  </si>
  <si>
    <t>¿Se analizan las causas de las mermas para reducirlas?</t>
  </si>
  <si>
    <t>¿Se retiran de inmediato los productos vencidos o en mal estado?</t>
  </si>
  <si>
    <t>¿Las mermas se consideran en el costo de mercadería vendida (CMV)?</t>
  </si>
  <si>
    <t>¿Se aprovechan los recortes y sobrantes de forma planificada, sin afectar la calidad?</t>
  </si>
  <si>
    <t>11.  HIGIENE Y CONTROL DE PLAGAS DEL DEPÓSITO</t>
  </si>
  <si>
    <t>¿El depósito y las cámaras se limpian según un cronograma definido?</t>
  </si>
  <si>
    <t>¿Existe un programa de control de plagas (MIP) vigente y documentado?</t>
  </si>
  <si>
    <t>¿Se inspecciona la presencia de plagas o sus indicios de forma periódica?</t>
  </si>
  <si>
    <t>¿Los residuos se gestionan y retiran de modo que no atraigan plagas?</t>
  </si>
  <si>
    <t>¿El personal mantiene prácticas de higiene al manipular la mercadería?</t>
  </si>
  <si>
    <t>12.  SEGURIDAD Y CONTROL DE ACCESO</t>
  </si>
  <si>
    <t>¿El acceso al depósito y a las cámaras está restringido al personal autorizado?</t>
  </si>
  <si>
    <t>¿Se controla el movimiento de los productos de alto valor?</t>
  </si>
  <si>
    <t>¿Existen medidas para prevenir y detectar el hurto interno?</t>
  </si>
  <si>
    <t>¿El depósito cuenta con condiciones de seguridad (cerraduras, iluminación, orden)?</t>
  </si>
  <si>
    <t>13.  CONTROL DE BAR Y BEBIDAS</t>
  </si>
  <si>
    <t>¿Existe un responsable designado del control del bar en cada turno?</t>
  </si>
  <si>
    <t>¿Se realiza un conteo físico de las bebidas al inicio y al cierre de cada turno?</t>
  </si>
  <si>
    <t>¿Las botellas abiertas de alcohol se controlan por nivel o por peso para detectar desvíos?</t>
  </si>
  <si>
    <t>¿El stock de botellas abiertas se registra de forma separada de las cerradas?</t>
  </si>
  <si>
    <t>¿Se utilizan dosificadores o medidores (jiggers) para servir porciones estandarizadas?</t>
  </si>
  <si>
    <t>¿Existen recetas estandarizadas de tragos con costo y rendimiento definidos?</t>
  </si>
  <si>
    <t>¿Se controla el rendimiento por botella (tragos esperados frente a los servidos)?</t>
  </si>
  <si>
    <t>¿Las ventas del bar (POS) se concilian con el consumo de stock del turno?</t>
  </si>
  <si>
    <t>¿Se registran las mermas del bar (derrames, cortesías, degustaciones)?</t>
  </si>
  <si>
    <t>¿Existe una medición o control del consumo de bebidas por parte del personal?</t>
  </si>
  <si>
    <t>¿El acceso a las bebidas premium o de alto valor está restringido y controlado?</t>
  </si>
  <si>
    <t>¿Las botellas vacías se conservan hasta la conciliación del cierre de turno?</t>
  </si>
  <si>
    <t>¿El bar se mantiene ordenado y limpio, con cada bebida en su lugar asignado?</t>
  </si>
  <si>
    <t>¿Se controlan el stock y el vencimiento de los insumos del bar (hielo, jugos, gaseosas, garnish)?</t>
  </si>
  <si>
    <t>14.  UTENSILIOS, EQUIPOS Y VAJILLA</t>
  </si>
  <si>
    <t>¿Existe un inventario de la vajilla, la cristalería, la cubertería y los utensilios?</t>
  </si>
  <si>
    <t>¿Se realiza un conteo periódico de la vajilla y los utensilios (por turno o mensual según el ítem)?</t>
  </si>
  <si>
    <t>¿Existe un registro de roturas de vasos, copas, platos y fuentes?</t>
  </si>
  <si>
    <t>¿Se registra la pérdida o el extravío de utensilios y herramientas?</t>
  </si>
  <si>
    <t>¿Las roturas y pérdidas se cuantifican en dinero e impactan en el costo?</t>
  </si>
  <si>
    <t>¿Se analizan las causas de las roturas para reducirlas (manipulación, transporte, lavado)?</t>
  </si>
  <si>
    <t>¿Se define un stock mínimo de vajilla y utensilios para reponer a tiempo?</t>
  </si>
  <si>
    <t>¿Los equipos (hornos, heladeras, licuadoras, máquinas) tienen registro de mantenimiento?</t>
  </si>
  <si>
    <t>¿Existe un plan de mantenimiento preventivo de los equipos?</t>
  </si>
  <si>
    <t>¿Se reportan de inmediato los equipos con fallas o fuera de servicio?</t>
  </si>
  <si>
    <t>¿Los utensilios y equipos tienen una ubicación asignada y se devuelven a su lugar?</t>
  </si>
  <si>
    <t>¿El equipamiento de alto valor (cuchillos, sartenes, herramientas) está identificado y controlado?</t>
  </si>
  <si>
    <t>¿Se controla la salida y el retorno de vajilla o utensilios hacia eventos o delivery?</t>
  </si>
  <si>
    <t>15.  COSTOS Y VALORIZACIÓN DEL INVENTARIO</t>
  </si>
  <si>
    <t>¿Se conoce el valor total del inventario en cada cierre?</t>
  </si>
  <si>
    <t>¿El inventario se vincula con el cálculo del CMV (costo de mercadería vendida)?</t>
  </si>
  <si>
    <t>¿Se calcula la rotación del inventario por categoría?</t>
  </si>
  <si>
    <t>¿Se identifican los productos de baja rotación y el capital inmovilizado?</t>
  </si>
  <si>
    <t>¿Los costos de compra se actualizan en el sistema ante cambios de precio?</t>
  </si>
  <si>
    <t>¿La información del inventario se usa para tomar decisiones de compra y de menú?</t>
  </si>
  <si>
    <t>BANDAS DE CALIFICACIÓN</t>
  </si>
  <si>
    <t>Calificación</t>
  </si>
  <si>
    <t>Acción</t>
  </si>
  <si>
    <t>Mayor o igual a 90%</t>
  </si>
  <si>
    <t>Excelente</t>
  </si>
  <si>
    <t>Sostener y documentar</t>
  </si>
  <si>
    <t>75% – 89%</t>
  </si>
  <si>
    <t>Muy bueno</t>
  </si>
  <si>
    <t>Ajustar pendientes</t>
  </si>
  <si>
    <t>60% – 74%</t>
  </si>
  <si>
    <t>Aceptable</t>
  </si>
  <si>
    <t>Plan de mejora</t>
  </si>
  <si>
    <t>40% – 59%</t>
  </si>
  <si>
    <t>Riesgo de pérdida de rentabilidad</t>
  </si>
  <si>
    <t>Intervención prioritaria</t>
  </si>
  <si>
    <t>Menor a 40%</t>
  </si>
  <si>
    <t>Servicio crítico – intervención inmediata</t>
  </si>
  <si>
    <t>Acción urgente</t>
  </si>
  <si>
    <t>RESUMEN POR CATEGORÍA</t>
  </si>
  <si>
    <t>Categoría</t>
  </si>
  <si>
    <t>% Cumpl.</t>
  </si>
  <si>
    <t>1. RECEPCIÓN DE MERCADERÍA</t>
  </si>
  <si>
    <t>2. ALMACENAJE DE MERCADERÍA</t>
  </si>
  <si>
    <t>3. CADENA DE FRÍO Y CONTROL DE TEMPERATURAS</t>
  </si>
  <si>
    <t>4. SISTEMA FIFO / PEPS (rotación)</t>
  </si>
  <si>
    <t>5. ROTULACIÓN E IDENTIFICACIÓN</t>
  </si>
  <si>
    <t>6. UBICACIÓN DE PRODUCTOS SEGÚN CATEGORÍA</t>
  </si>
  <si>
    <t>7. CONTROL DE STOCK Y REGISTROS</t>
  </si>
  <si>
    <t>8. CONTEO E INVENTARIO FÍSICO</t>
  </si>
  <si>
    <t>9. ACCIONES Y CONTROL ANTE DESVÍOS DEL INVENTARIO</t>
  </si>
  <si>
    <t>10. MERMAS, VENCIMIENTOS Y DESPERDICIO</t>
  </si>
  <si>
    <t>11. HIGIENE Y CONTROL DE PLAGAS DEL DEPÓSITO</t>
  </si>
  <si>
    <t>12. SEGURIDAD Y CONTROL DE ACCESO</t>
  </si>
  <si>
    <t>13. CONTROL DE BAR Y BEBIDAS</t>
  </si>
  <si>
    <t>14. UTENSILIOS, EQUIPOS Y VAJILLA</t>
  </si>
  <si>
    <t>15. COSTOS Y VALORIZACIÓN DEL INVENTARIO</t>
  </si>
  <si>
    <t>Se aplica la regla FIFO ( FIRST IN/FIRST OUT)?</t>
  </si>
  <si>
    <t>X</t>
  </si>
  <si>
    <t>INVENTARIO.    GPS GASTRONOMKICO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</si>
</sst>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sz val="10"/>
      <color rgb="FF1A1A1A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  <font>
      <b/>
      <sz val="18"/>
      <color rgb="FF0F8B8D"/>
      <name val="Arial"/>
      <family val="2"/>
    </font>
    <font>
      <sz val="16"/>
      <color theme="1"/>
      <name val="Calibri"/>
      <family val="2"/>
      <charset val="1"/>
    </font>
    <font>
      <b/>
      <sz val="16"/>
      <color rgb="FF0A2540"/>
      <name val="Arial"/>
      <family val="2"/>
    </font>
    <font>
      <sz val="16"/>
      <color rgb="FF1A1A1A"/>
      <name val="Arial"/>
      <family val="2"/>
    </font>
    <font>
      <sz val="14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1A1A1A"/>
      <name val="Arial"/>
      <family val="2"/>
    </font>
    <font>
      <sz val="14"/>
      <color rgb="FF1A1A1A"/>
      <name val="Arial"/>
      <family val="2"/>
    </font>
    <font>
      <b/>
      <sz val="14"/>
      <color rgb="FF0F8B8D"/>
      <name val="Arial"/>
      <family val="2"/>
    </font>
    <font>
      <b/>
      <sz val="14"/>
      <color rgb="FFC0392B"/>
      <name val="Arial"/>
      <family val="2"/>
    </font>
    <font>
      <b/>
      <i/>
      <sz val="16"/>
      <color rgb="FFFF0000"/>
      <name val="Arial"/>
      <family val="2"/>
    </font>
    <font>
      <b/>
      <sz val="28"/>
      <color theme="0"/>
      <name val="Oriya MN"/>
      <family val="1"/>
    </font>
  </fonts>
  <fills count="16">
    <fill>
      <patternFill patternType="none"/>
    </fill>
    <fill>
      <patternFill patternType="gray125"/>
    </fill>
    <fill>
      <patternFill patternType="solid">
        <fgColor rgb="FF0A2540"/>
        <bgColor rgb="FF1A1A1A"/>
      </patternFill>
    </fill>
    <fill>
      <patternFill patternType="solid">
        <fgColor rgb="FFEAF2F2"/>
        <bgColor rgb="FFE6F4EE"/>
      </patternFill>
    </fill>
    <fill>
      <patternFill patternType="solid">
        <fgColor rgb="FF0F8B8D"/>
        <bgColor rgb="FF1E8449"/>
      </patternFill>
    </fill>
    <fill>
      <patternFill patternType="solid">
        <fgColor rgb="FF5A6B7B"/>
        <bgColor rgb="FF808080"/>
      </patternFill>
    </fill>
    <fill>
      <patternFill patternType="solid">
        <fgColor rgb="FFFFFFFF"/>
        <bgColor rgb="FFFBF3DA"/>
      </patternFill>
    </fill>
    <fill>
      <patternFill patternType="solid">
        <fgColor rgb="FFDCF1E6"/>
        <bgColor rgb="FFE6F4EE"/>
      </patternFill>
    </fill>
    <fill>
      <patternFill patternType="solid">
        <fgColor rgb="FFE6F4EE"/>
        <bgColor rgb="FFEAF2F2"/>
      </patternFill>
    </fill>
    <fill>
      <patternFill patternType="solid">
        <fgColor rgb="FFFBF3DA"/>
        <bgColor rgb="FFEAF2F2"/>
      </patternFill>
    </fill>
    <fill>
      <patternFill patternType="solid">
        <fgColor rgb="FFFBE3D4"/>
        <bgColor rgb="FFF7D7D7"/>
      </patternFill>
    </fill>
    <fill>
      <patternFill patternType="solid">
        <fgColor rgb="FFF7D7D7"/>
        <bgColor rgb="FFFBE3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C7D2D9"/>
      </left>
      <right style="thin">
        <color rgb="FFC7D2D9"/>
      </right>
      <top style="thin">
        <color rgb="FFC7D2D9"/>
      </top>
      <bottom style="thin">
        <color rgb="FFC7D2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7D2D9"/>
      </left>
      <right/>
      <top style="thin">
        <color rgb="FFC7D2D9"/>
      </top>
      <bottom style="thin">
        <color rgb="FFC7D2D9"/>
      </bottom>
      <diagonal/>
    </border>
    <border>
      <left/>
      <right/>
      <top style="thin">
        <color rgb="FFC7D2D9"/>
      </top>
      <bottom style="thin">
        <color rgb="FFC7D2D9"/>
      </bottom>
      <diagonal/>
    </border>
    <border>
      <left/>
      <right/>
      <top style="thin">
        <color rgb="FFC7D2D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7" fillId="14" borderId="0" xfId="0" applyFont="1" applyFill="1"/>
    <xf numFmtId="0" fontId="8" fillId="14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right" vertical="center"/>
    </xf>
    <xf numFmtId="0" fontId="10" fillId="14" borderId="0" xfId="0" applyFont="1" applyFill="1"/>
    <xf numFmtId="0" fontId="9" fillId="14" borderId="6" xfId="0" applyFont="1" applyFill="1" applyBorder="1" applyAlignment="1">
      <alignment horizontal="left" vertical="center"/>
    </xf>
    <xf numFmtId="0" fontId="9" fillId="14" borderId="5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right" vertical="center"/>
    </xf>
    <xf numFmtId="0" fontId="8" fillId="3" borderId="9" xfId="0" applyFont="1" applyFill="1" applyBorder="1" applyAlignment="1">
      <alignment horizontal="right" vertical="center"/>
    </xf>
    <xf numFmtId="164" fontId="12" fillId="0" borderId="5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17" fillId="15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b/>
        <sz val="12"/>
        <color rgb="FFFFFFFF"/>
        <name val="Arial"/>
        <charset val="1"/>
      </font>
      <fill>
        <patternFill>
          <bgColor rgb="FFC0392B"/>
        </patternFill>
      </fill>
    </dxf>
    <dxf>
      <font>
        <b/>
        <sz val="12"/>
        <color rgb="FFFFFFFF"/>
        <name val="Arial"/>
        <charset val="1"/>
      </font>
      <fill>
        <patternFill>
          <bgColor rgb="FFE67E22"/>
        </patternFill>
      </fill>
    </dxf>
    <dxf>
      <font>
        <b/>
        <sz val="12"/>
        <color rgb="FFFFFFFF"/>
        <name val="Arial"/>
        <charset val="1"/>
      </font>
      <fill>
        <patternFill>
          <bgColor rgb="FFC9A227"/>
        </patternFill>
      </fill>
    </dxf>
    <dxf>
      <font>
        <b/>
        <sz val="12"/>
        <color rgb="FFFFFFFF"/>
        <name val="Arial"/>
        <charset val="1"/>
      </font>
      <fill>
        <patternFill>
          <bgColor rgb="FF27AE60"/>
        </patternFill>
      </fill>
    </dxf>
    <dxf>
      <font>
        <b/>
        <sz val="12"/>
        <color rgb="FFFFFFFF"/>
        <name val="Arial"/>
        <charset val="1"/>
      </font>
      <fill>
        <patternFill>
          <bgColor rgb="FF1E844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0C0C0"/>
      <rgbColor rgb="FF808080"/>
      <rgbColor rgb="FF9999FF"/>
      <rgbColor rgb="FF993366"/>
      <rgbColor rgb="FFFBF3DA"/>
      <rgbColor rgb="FFDCF1E6"/>
      <rgbColor rgb="FF660066"/>
      <rgbColor rgb="FFFF8080"/>
      <rgbColor rgb="FF0066CC"/>
      <rgbColor rgb="FFC7D2D9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E6F4EE"/>
      <rgbColor rgb="FFEAF2F2"/>
      <rgbColor rgb="FFFBE3D4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E67E22"/>
      <rgbColor rgb="FF5A6B7B"/>
      <rgbColor rgb="FF969696"/>
      <rgbColor rgb="FF0A2540"/>
      <rgbColor rgb="FF27AE60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4787900</xdr:colOff>
      <xdr:row>0</xdr:row>
      <xdr:rowOff>25400</xdr:rowOff>
    </xdr:from>
    <xdr:to>
      <xdr:col>3</xdr:col>
      <xdr:colOff>6390503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AE8B6-A3F8-0533-3103-5D5F8227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8900" y="25400"/>
          <a:ext cx="1602603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showGridLines="0" tabSelected="1" zoomScaleNormal="100" workbookViewId="0">
      <pane ySplit="12" topLeftCell="A13" activePane="bottomLeft" state="frozen"/>
      <selection pane="bottomLeft" activeCell="F7" sqref="F7"/>
    </sheetView>
  </sheetViews>
  <sheetFormatPr baseColWidth="10" defaultColWidth="8.6640625" defaultRowHeight="15" x14ac:dyDescent="0.2"/>
  <cols>
    <col min="1" max="1" width="78" customWidth="1"/>
    <col min="2" max="2" width="29.33203125" customWidth="1"/>
    <col min="3" max="3" width="31" customWidth="1"/>
    <col min="4" max="4" width="85.5" customWidth="1"/>
  </cols>
  <sheetData>
    <row r="1" spans="1:4" ht="90" customHeight="1" thickBot="1" x14ac:dyDescent="0.25">
      <c r="A1" s="55" t="s">
        <v>178</v>
      </c>
      <c r="B1" s="55"/>
      <c r="C1" s="55"/>
      <c r="D1" s="55"/>
    </row>
    <row r="2" spans="1:4" ht="24" thickBot="1" x14ac:dyDescent="0.25">
      <c r="A2" s="41" t="s">
        <v>0</v>
      </c>
      <c r="B2" s="42"/>
      <c r="C2" s="42"/>
      <c r="D2" s="43"/>
    </row>
    <row r="3" spans="1:4" ht="22" thickBot="1" x14ac:dyDescent="0.3">
      <c r="A3" s="28"/>
      <c r="B3" s="28"/>
      <c r="C3" s="28"/>
      <c r="D3" s="28"/>
    </row>
    <row r="4" spans="1:4" ht="30" customHeight="1" thickBot="1" x14ac:dyDescent="0.25">
      <c r="A4" s="29" t="s">
        <v>1</v>
      </c>
      <c r="B4" s="33"/>
      <c r="C4" s="30" t="s">
        <v>2</v>
      </c>
      <c r="D4" s="33"/>
    </row>
    <row r="5" spans="1:4" ht="34" customHeight="1" thickBot="1" x14ac:dyDescent="0.25">
      <c r="A5" s="29" t="s">
        <v>3</v>
      </c>
      <c r="B5" s="32"/>
      <c r="C5" s="30" t="s">
        <v>4</v>
      </c>
      <c r="D5" s="32"/>
    </row>
    <row r="6" spans="1:4" ht="19" x14ac:dyDescent="0.25">
      <c r="A6" s="31"/>
      <c r="B6" s="31"/>
      <c r="C6" s="31"/>
      <c r="D6" s="31"/>
    </row>
    <row r="7" spans="1:4" ht="37" customHeight="1" thickBot="1" x14ac:dyDescent="0.25">
      <c r="A7" s="44" t="s">
        <v>5</v>
      </c>
      <c r="B7" s="44"/>
      <c r="C7" s="44"/>
      <c r="D7" s="44"/>
    </row>
    <row r="8" spans="1:4" ht="26" customHeight="1" thickBot="1" x14ac:dyDescent="0.25">
      <c r="A8" s="34" t="s">
        <v>6</v>
      </c>
      <c r="B8" s="35">
        <f>COUNTIF(B16:B167,"X")</f>
        <v>1</v>
      </c>
      <c r="C8" s="36" t="s">
        <v>7</v>
      </c>
      <c r="D8" s="35">
        <f>COUNTIF(C16:C167,"X")</f>
        <v>1</v>
      </c>
    </row>
    <row r="9" spans="1:4" ht="29" customHeight="1" thickBot="1" x14ac:dyDescent="0.25">
      <c r="A9" s="34" t="s">
        <v>8</v>
      </c>
      <c r="B9" s="35">
        <f>B8+D8</f>
        <v>2</v>
      </c>
      <c r="C9" s="37" t="s">
        <v>9</v>
      </c>
      <c r="D9" s="38">
        <f>IFERROR(B8/B9,0)</f>
        <v>0.5</v>
      </c>
    </row>
    <row r="10" spans="1:4" ht="48" customHeight="1" thickBot="1" x14ac:dyDescent="0.25">
      <c r="A10" s="45" t="s">
        <v>10</v>
      </c>
      <c r="B10" s="45"/>
      <c r="C10" s="46" t="str">
        <f>IF(B9=0,"Sin datos",IF(D9&gt;=0.9,"EXCELENTE",IF(D9&gt;=0.75,"MUY BUENO",IF(D9&gt;=0.6,"ACEPTABLE",IF(D9&gt;=0.4,"RIESGO DE PÉRDIDA DE RENTABILIDAD","SERVICIO CRÍTICO – INTERVENCIÓN INMEDIATA")))))</f>
        <v>RIESGO DE PÉRDIDA DE RENTABILIDAD</v>
      </c>
      <c r="D10" s="47"/>
    </row>
    <row r="11" spans="1:4" ht="10" customHeight="1" x14ac:dyDescent="0.25">
      <c r="A11" s="19"/>
      <c r="B11" s="19"/>
      <c r="C11" s="19"/>
      <c r="D11" s="19"/>
    </row>
    <row r="12" spans="1:4" ht="41" customHeight="1" x14ac:dyDescent="0.2">
      <c r="A12" s="40" t="s">
        <v>11</v>
      </c>
      <c r="B12" s="40"/>
      <c r="C12" s="40"/>
      <c r="D12" s="40"/>
    </row>
    <row r="13" spans="1:4" ht="19" x14ac:dyDescent="0.25">
      <c r="A13" s="19"/>
      <c r="B13" s="19"/>
      <c r="C13" s="19"/>
      <c r="D13" s="19"/>
    </row>
    <row r="14" spans="1:4" ht="30" customHeight="1" x14ac:dyDescent="0.2">
      <c r="A14" s="39" t="s">
        <v>12</v>
      </c>
      <c r="B14" s="39"/>
      <c r="C14" s="39"/>
      <c r="D14" s="39"/>
    </row>
    <row r="15" spans="1:4" ht="18" x14ac:dyDescent="0.2">
      <c r="A15" s="20" t="s">
        <v>13</v>
      </c>
      <c r="B15" s="21" t="s">
        <v>14</v>
      </c>
      <c r="C15" s="21" t="s">
        <v>15</v>
      </c>
      <c r="D15" s="21" t="s">
        <v>16</v>
      </c>
    </row>
    <row r="16" spans="1:4" ht="38" x14ac:dyDescent="0.2">
      <c r="A16" s="22" t="s">
        <v>17</v>
      </c>
      <c r="B16" s="23" t="s">
        <v>177</v>
      </c>
      <c r="C16" s="24"/>
      <c r="D16" s="22"/>
    </row>
    <row r="17" spans="1:4" ht="38" x14ac:dyDescent="0.2">
      <c r="A17" s="25" t="s">
        <v>18</v>
      </c>
      <c r="B17" s="26"/>
      <c r="C17" s="27" t="s">
        <v>177</v>
      </c>
      <c r="D17" s="25"/>
    </row>
    <row r="18" spans="1:4" ht="38" x14ac:dyDescent="0.2">
      <c r="A18" s="22" t="s">
        <v>19</v>
      </c>
      <c r="B18" s="23"/>
      <c r="C18" s="24"/>
      <c r="D18" s="22"/>
    </row>
    <row r="19" spans="1:4" ht="38" x14ac:dyDescent="0.2">
      <c r="A19" s="25" t="s">
        <v>20</v>
      </c>
      <c r="B19" s="26"/>
      <c r="C19" s="27"/>
      <c r="D19" s="25"/>
    </row>
    <row r="20" spans="1:4" ht="38" x14ac:dyDescent="0.2">
      <c r="A20" s="22" t="s">
        <v>21</v>
      </c>
      <c r="B20" s="23"/>
      <c r="C20" s="24"/>
      <c r="D20" s="22"/>
    </row>
    <row r="21" spans="1:4" ht="38" x14ac:dyDescent="0.2">
      <c r="A21" s="25" t="s">
        <v>22</v>
      </c>
      <c r="B21" s="26"/>
      <c r="C21" s="27"/>
      <c r="D21" s="25"/>
    </row>
    <row r="22" spans="1:4" ht="38" x14ac:dyDescent="0.2">
      <c r="A22" s="22" t="s">
        <v>23</v>
      </c>
      <c r="B22" s="23"/>
      <c r="C22" s="24"/>
      <c r="D22" s="22"/>
    </row>
    <row r="23" spans="1:4" ht="38" x14ac:dyDescent="0.2">
      <c r="A23" s="25" t="s">
        <v>24</v>
      </c>
      <c r="B23" s="26"/>
      <c r="C23" s="27"/>
      <c r="D23" s="25"/>
    </row>
    <row r="24" spans="1:4" ht="19" x14ac:dyDescent="0.2">
      <c r="A24" s="22" t="s">
        <v>25</v>
      </c>
      <c r="B24" s="23"/>
      <c r="C24" s="24"/>
      <c r="D24" s="22"/>
    </row>
    <row r="25" spans="1:4" ht="19" x14ac:dyDescent="0.25">
      <c r="A25" s="19"/>
      <c r="B25" s="19"/>
      <c r="C25" s="19"/>
      <c r="D25" s="19"/>
    </row>
    <row r="26" spans="1:4" ht="31" customHeight="1" x14ac:dyDescent="0.2">
      <c r="A26" s="39" t="s">
        <v>26</v>
      </c>
      <c r="B26" s="39"/>
      <c r="C26" s="39"/>
      <c r="D26" s="39"/>
    </row>
    <row r="27" spans="1:4" ht="18" x14ac:dyDescent="0.2">
      <c r="A27" s="20" t="s">
        <v>13</v>
      </c>
      <c r="B27" s="21" t="s">
        <v>14</v>
      </c>
      <c r="C27" s="21" t="s">
        <v>15</v>
      </c>
      <c r="D27" s="21" t="s">
        <v>16</v>
      </c>
    </row>
    <row r="28" spans="1:4" ht="19" x14ac:dyDescent="0.2">
      <c r="A28" s="22" t="s">
        <v>27</v>
      </c>
      <c r="B28" s="23"/>
      <c r="C28" s="24"/>
      <c r="D28" s="22"/>
    </row>
    <row r="29" spans="1:4" ht="38" x14ac:dyDescent="0.2">
      <c r="A29" s="25" t="s">
        <v>28</v>
      </c>
      <c r="B29" s="26"/>
      <c r="C29" s="27"/>
      <c r="D29" s="25"/>
    </row>
    <row r="30" spans="1:4" ht="38" x14ac:dyDescent="0.2">
      <c r="A30" s="22" t="s">
        <v>29</v>
      </c>
      <c r="B30" s="23"/>
      <c r="C30" s="24"/>
      <c r="D30" s="22"/>
    </row>
    <row r="31" spans="1:4" ht="38" x14ac:dyDescent="0.2">
      <c r="A31" s="25" t="s">
        <v>30</v>
      </c>
      <c r="B31" s="26"/>
      <c r="C31" s="27"/>
      <c r="D31" s="25"/>
    </row>
    <row r="32" spans="1:4" ht="19" x14ac:dyDescent="0.2">
      <c r="A32" s="22" t="s">
        <v>31</v>
      </c>
      <c r="B32" s="23"/>
      <c r="C32" s="24"/>
      <c r="D32" s="22"/>
    </row>
    <row r="33" spans="1:4" ht="38" x14ac:dyDescent="0.2">
      <c r="A33" s="25" t="s">
        <v>32</v>
      </c>
      <c r="B33" s="26"/>
      <c r="C33" s="27"/>
      <c r="D33" s="25"/>
    </row>
    <row r="34" spans="1:4" ht="38" x14ac:dyDescent="0.2">
      <c r="A34" s="22" t="s">
        <v>33</v>
      </c>
      <c r="B34" s="23"/>
      <c r="C34" s="24"/>
      <c r="D34" s="22"/>
    </row>
    <row r="35" spans="1:4" ht="19" x14ac:dyDescent="0.25">
      <c r="A35" s="19"/>
      <c r="B35" s="19"/>
      <c r="C35" s="19"/>
      <c r="D35" s="19"/>
    </row>
    <row r="36" spans="1:4" ht="30" customHeight="1" x14ac:dyDescent="0.2">
      <c r="A36" s="39" t="s">
        <v>34</v>
      </c>
      <c r="B36" s="39"/>
      <c r="C36" s="39"/>
      <c r="D36" s="39"/>
    </row>
    <row r="37" spans="1:4" ht="18" x14ac:dyDescent="0.2">
      <c r="A37" s="20" t="s">
        <v>13</v>
      </c>
      <c r="B37" s="21" t="s">
        <v>14</v>
      </c>
      <c r="C37" s="21" t="s">
        <v>15</v>
      </c>
      <c r="D37" s="21" t="s">
        <v>16</v>
      </c>
    </row>
    <row r="38" spans="1:4" ht="38" x14ac:dyDescent="0.2">
      <c r="A38" s="22" t="s">
        <v>35</v>
      </c>
      <c r="B38" s="23"/>
      <c r="C38" s="24"/>
      <c r="D38" s="22"/>
    </row>
    <row r="39" spans="1:4" ht="38" x14ac:dyDescent="0.2">
      <c r="A39" s="25" t="s">
        <v>36</v>
      </c>
      <c r="B39" s="26"/>
      <c r="C39" s="27"/>
      <c r="D39" s="25"/>
    </row>
    <row r="40" spans="1:4" ht="38" x14ac:dyDescent="0.2">
      <c r="A40" s="22" t="s">
        <v>37</v>
      </c>
      <c r="B40" s="23"/>
      <c r="C40" s="24"/>
      <c r="D40" s="22"/>
    </row>
    <row r="41" spans="1:4" ht="38" x14ac:dyDescent="0.2">
      <c r="A41" s="25" t="s">
        <v>38</v>
      </c>
      <c r="B41" s="26"/>
      <c r="C41" s="27"/>
      <c r="D41" s="25"/>
    </row>
    <row r="42" spans="1:4" ht="38" x14ac:dyDescent="0.2">
      <c r="A42" s="22" t="s">
        <v>39</v>
      </c>
      <c r="B42" s="23"/>
      <c r="C42" s="24"/>
      <c r="D42" s="22"/>
    </row>
    <row r="43" spans="1:4" ht="38" x14ac:dyDescent="0.2">
      <c r="A43" s="25" t="s">
        <v>40</v>
      </c>
      <c r="B43" s="26"/>
      <c r="C43" s="27"/>
      <c r="D43" s="25"/>
    </row>
    <row r="44" spans="1:4" ht="19" x14ac:dyDescent="0.25">
      <c r="A44" s="19"/>
      <c r="B44" s="19"/>
      <c r="C44" s="19"/>
      <c r="D44" s="19"/>
    </row>
    <row r="45" spans="1:4" ht="29" customHeight="1" x14ac:dyDescent="0.2">
      <c r="A45" s="39" t="s">
        <v>41</v>
      </c>
      <c r="B45" s="39"/>
      <c r="C45" s="39"/>
      <c r="D45" s="39"/>
    </row>
    <row r="46" spans="1:4" ht="18" x14ac:dyDescent="0.2">
      <c r="A46" s="20" t="s">
        <v>13</v>
      </c>
      <c r="B46" s="21" t="s">
        <v>14</v>
      </c>
      <c r="C46" s="21" t="s">
        <v>15</v>
      </c>
      <c r="D46" s="21" t="s">
        <v>16</v>
      </c>
    </row>
    <row r="47" spans="1:4" ht="38" x14ac:dyDescent="0.2">
      <c r="A47" s="22" t="s">
        <v>42</v>
      </c>
      <c r="B47" s="23"/>
      <c r="C47" s="24"/>
      <c r="D47" s="22"/>
    </row>
    <row r="48" spans="1:4" ht="19" x14ac:dyDescent="0.2">
      <c r="A48" s="25" t="s">
        <v>176</v>
      </c>
      <c r="B48" s="26"/>
      <c r="C48" s="27"/>
      <c r="D48" s="25"/>
    </row>
    <row r="49" spans="1:4" ht="19" x14ac:dyDescent="0.2">
      <c r="A49" s="22" t="s">
        <v>43</v>
      </c>
      <c r="B49" s="23"/>
      <c r="C49" s="24"/>
      <c r="D49" s="22"/>
    </row>
    <row r="50" spans="1:4" ht="19" x14ac:dyDescent="0.2">
      <c r="A50" s="25" t="s">
        <v>44</v>
      </c>
      <c r="B50" s="26"/>
      <c r="C50" s="27"/>
      <c r="D50" s="25"/>
    </row>
    <row r="51" spans="1:4" ht="38" x14ac:dyDescent="0.2">
      <c r="A51" s="22" t="s">
        <v>45</v>
      </c>
      <c r="B51" s="23"/>
      <c r="C51" s="24"/>
      <c r="D51" s="22"/>
    </row>
    <row r="52" spans="1:4" ht="19" x14ac:dyDescent="0.2">
      <c r="A52" s="25" t="s">
        <v>46</v>
      </c>
      <c r="B52" s="26"/>
      <c r="C52" s="27"/>
      <c r="D52" s="25"/>
    </row>
    <row r="53" spans="1:4" ht="19" x14ac:dyDescent="0.25">
      <c r="A53" s="19"/>
      <c r="B53" s="19"/>
      <c r="C53" s="19"/>
      <c r="D53" s="19"/>
    </row>
    <row r="54" spans="1:4" ht="28" customHeight="1" x14ac:dyDescent="0.2">
      <c r="A54" s="39" t="s">
        <v>47</v>
      </c>
      <c r="B54" s="39"/>
      <c r="C54" s="39"/>
      <c r="D54" s="39"/>
    </row>
    <row r="55" spans="1:4" ht="18" x14ac:dyDescent="0.2">
      <c r="A55" s="20" t="s">
        <v>13</v>
      </c>
      <c r="B55" s="21" t="s">
        <v>14</v>
      </c>
      <c r="C55" s="21" t="s">
        <v>15</v>
      </c>
      <c r="D55" s="21" t="s">
        <v>16</v>
      </c>
    </row>
    <row r="56" spans="1:4" ht="19" x14ac:dyDescent="0.2">
      <c r="A56" s="22" t="s">
        <v>48</v>
      </c>
      <c r="B56" s="23"/>
      <c r="C56" s="24"/>
      <c r="D56" s="22"/>
    </row>
    <row r="57" spans="1:4" ht="19" x14ac:dyDescent="0.2">
      <c r="A57" s="25" t="s">
        <v>49</v>
      </c>
      <c r="B57" s="26"/>
      <c r="C57" s="27"/>
      <c r="D57" s="25"/>
    </row>
    <row r="58" spans="1:4" ht="19" x14ac:dyDescent="0.2">
      <c r="A58" s="22" t="s">
        <v>50</v>
      </c>
      <c r="B58" s="23"/>
      <c r="C58" s="24"/>
      <c r="D58" s="22"/>
    </row>
    <row r="59" spans="1:4" ht="19" x14ac:dyDescent="0.2">
      <c r="A59" s="25" t="s">
        <v>51</v>
      </c>
      <c r="B59" s="26"/>
      <c r="C59" s="27"/>
      <c r="D59" s="25"/>
    </row>
    <row r="60" spans="1:4" ht="38" x14ac:dyDescent="0.2">
      <c r="A60" s="22" t="s">
        <v>52</v>
      </c>
      <c r="B60" s="23"/>
      <c r="C60" s="24"/>
      <c r="D60" s="22"/>
    </row>
    <row r="61" spans="1:4" ht="19" x14ac:dyDescent="0.2">
      <c r="A61" s="25" t="s">
        <v>53</v>
      </c>
      <c r="B61" s="26"/>
      <c r="C61" s="27"/>
      <c r="D61" s="25"/>
    </row>
    <row r="62" spans="1:4" ht="19" x14ac:dyDescent="0.25">
      <c r="A62" s="19"/>
      <c r="B62" s="19"/>
      <c r="C62" s="19"/>
      <c r="D62" s="19"/>
    </row>
    <row r="63" spans="1:4" ht="31" customHeight="1" x14ac:dyDescent="0.2">
      <c r="A63" s="39" t="s">
        <v>54</v>
      </c>
      <c r="B63" s="39"/>
      <c r="C63" s="39"/>
      <c r="D63" s="39"/>
    </row>
    <row r="64" spans="1:4" ht="18" x14ac:dyDescent="0.2">
      <c r="A64" s="20" t="s">
        <v>13</v>
      </c>
      <c r="B64" s="21" t="s">
        <v>14</v>
      </c>
      <c r="C64" s="21" t="s">
        <v>15</v>
      </c>
      <c r="D64" s="21" t="s">
        <v>16</v>
      </c>
    </row>
    <row r="65" spans="1:4" ht="38" x14ac:dyDescent="0.2">
      <c r="A65" s="22" t="s">
        <v>55</v>
      </c>
      <c r="B65" s="23"/>
      <c r="C65" s="24"/>
      <c r="D65" s="22"/>
    </row>
    <row r="66" spans="1:4" ht="38" x14ac:dyDescent="0.2">
      <c r="A66" s="25" t="s">
        <v>56</v>
      </c>
      <c r="B66" s="26"/>
      <c r="C66" s="27"/>
      <c r="D66" s="25"/>
    </row>
    <row r="67" spans="1:4" ht="38" x14ac:dyDescent="0.2">
      <c r="A67" s="22" t="s">
        <v>57</v>
      </c>
      <c r="B67" s="23"/>
      <c r="C67" s="24"/>
      <c r="D67" s="22"/>
    </row>
    <row r="68" spans="1:4" ht="19" x14ac:dyDescent="0.2">
      <c r="A68" s="25" t="s">
        <v>58</v>
      </c>
      <c r="B68" s="26"/>
      <c r="C68" s="27"/>
      <c r="D68" s="25"/>
    </row>
    <row r="69" spans="1:4" ht="19" x14ac:dyDescent="0.2">
      <c r="A69" s="22" t="s">
        <v>59</v>
      </c>
      <c r="B69" s="23"/>
      <c r="C69" s="24"/>
      <c r="D69" s="22"/>
    </row>
    <row r="70" spans="1:4" ht="38" x14ac:dyDescent="0.2">
      <c r="A70" s="25" t="s">
        <v>60</v>
      </c>
      <c r="B70" s="26"/>
      <c r="C70" s="27"/>
      <c r="D70" s="25"/>
    </row>
    <row r="71" spans="1:4" ht="19" x14ac:dyDescent="0.25">
      <c r="A71" s="19"/>
      <c r="B71" s="19"/>
      <c r="C71" s="19"/>
      <c r="D71" s="19"/>
    </row>
    <row r="72" spans="1:4" ht="26" customHeight="1" x14ac:dyDescent="0.2">
      <c r="A72" s="39" t="s">
        <v>61</v>
      </c>
      <c r="B72" s="39"/>
      <c r="C72" s="39"/>
      <c r="D72" s="39"/>
    </row>
    <row r="73" spans="1:4" ht="18" x14ac:dyDescent="0.2">
      <c r="A73" s="20" t="s">
        <v>13</v>
      </c>
      <c r="B73" s="21" t="s">
        <v>14</v>
      </c>
      <c r="C73" s="21" t="s">
        <v>15</v>
      </c>
      <c r="D73" s="21" t="s">
        <v>16</v>
      </c>
    </row>
    <row r="74" spans="1:4" ht="38" x14ac:dyDescent="0.2">
      <c r="A74" s="22" t="s">
        <v>62</v>
      </c>
      <c r="B74" s="23"/>
      <c r="C74" s="24"/>
      <c r="D74" s="22"/>
    </row>
    <row r="75" spans="1:4" ht="38" x14ac:dyDescent="0.2">
      <c r="A75" s="25" t="s">
        <v>63</v>
      </c>
      <c r="B75" s="26"/>
      <c r="C75" s="27"/>
      <c r="D75" s="25"/>
    </row>
    <row r="76" spans="1:4" ht="19" x14ac:dyDescent="0.2">
      <c r="A76" s="22" t="s">
        <v>64</v>
      </c>
      <c r="B76" s="23"/>
      <c r="C76" s="24"/>
      <c r="D76" s="22"/>
    </row>
    <row r="77" spans="1:4" ht="38" x14ac:dyDescent="0.2">
      <c r="A77" s="25" t="s">
        <v>65</v>
      </c>
      <c r="B77" s="26"/>
      <c r="C77" s="27"/>
      <c r="D77" s="25"/>
    </row>
    <row r="78" spans="1:4" ht="38" x14ac:dyDescent="0.2">
      <c r="A78" s="22" t="s">
        <v>66</v>
      </c>
      <c r="B78" s="23"/>
      <c r="C78" s="24"/>
      <c r="D78" s="22"/>
    </row>
    <row r="79" spans="1:4" ht="38" x14ac:dyDescent="0.2">
      <c r="A79" s="25" t="s">
        <v>67</v>
      </c>
      <c r="B79" s="26"/>
      <c r="C79" s="27"/>
      <c r="D79" s="25"/>
    </row>
    <row r="80" spans="1:4" ht="19" x14ac:dyDescent="0.25">
      <c r="A80" s="19"/>
      <c r="B80" s="19"/>
      <c r="C80" s="19"/>
      <c r="D80" s="19"/>
    </row>
    <row r="81" spans="1:4" ht="25" customHeight="1" x14ac:dyDescent="0.2">
      <c r="A81" s="39" t="s">
        <v>68</v>
      </c>
      <c r="B81" s="39"/>
      <c r="C81" s="39"/>
      <c r="D81" s="39"/>
    </row>
    <row r="82" spans="1:4" ht="18" x14ac:dyDescent="0.2">
      <c r="A82" s="20" t="s">
        <v>13</v>
      </c>
      <c r="B82" s="21" t="s">
        <v>14</v>
      </c>
      <c r="C82" s="21" t="s">
        <v>15</v>
      </c>
      <c r="D82" s="21" t="s">
        <v>16</v>
      </c>
    </row>
    <row r="83" spans="1:4" ht="38" x14ac:dyDescent="0.2">
      <c r="A83" s="22" t="s">
        <v>69</v>
      </c>
      <c r="B83" s="23"/>
      <c r="C83" s="24"/>
      <c r="D83" s="22"/>
    </row>
    <row r="84" spans="1:4" ht="38" x14ac:dyDescent="0.2">
      <c r="A84" s="25" t="s">
        <v>70</v>
      </c>
      <c r="B84" s="26"/>
      <c r="C84" s="27"/>
      <c r="D84" s="25"/>
    </row>
    <row r="85" spans="1:4" ht="19" x14ac:dyDescent="0.2">
      <c r="A85" s="22" t="s">
        <v>71</v>
      </c>
      <c r="B85" s="23"/>
      <c r="C85" s="24"/>
      <c r="D85" s="22"/>
    </row>
    <row r="86" spans="1:4" ht="19" x14ac:dyDescent="0.2">
      <c r="A86" s="25" t="s">
        <v>72</v>
      </c>
      <c r="B86" s="26"/>
      <c r="C86" s="27"/>
      <c r="D86" s="25"/>
    </row>
    <row r="87" spans="1:4" ht="19" x14ac:dyDescent="0.2">
      <c r="A87" s="22" t="s">
        <v>73</v>
      </c>
      <c r="B87" s="23"/>
      <c r="C87" s="24"/>
      <c r="D87" s="22"/>
    </row>
    <row r="88" spans="1:4" ht="19" x14ac:dyDescent="0.2">
      <c r="A88" s="25" t="s">
        <v>74</v>
      </c>
      <c r="B88" s="26"/>
      <c r="C88" s="27"/>
      <c r="D88" s="25"/>
    </row>
    <row r="89" spans="1:4" ht="19" x14ac:dyDescent="0.25">
      <c r="A89" s="19"/>
      <c r="B89" s="19"/>
      <c r="C89" s="19"/>
      <c r="D89" s="19"/>
    </row>
    <row r="90" spans="1:4" ht="29" customHeight="1" x14ac:dyDescent="0.2">
      <c r="A90" s="39" t="s">
        <v>75</v>
      </c>
      <c r="B90" s="39"/>
      <c r="C90" s="39"/>
      <c r="D90" s="39"/>
    </row>
    <row r="91" spans="1:4" ht="18" x14ac:dyDescent="0.2">
      <c r="A91" s="20" t="s">
        <v>13</v>
      </c>
      <c r="B91" s="21" t="s">
        <v>14</v>
      </c>
      <c r="C91" s="21" t="s">
        <v>15</v>
      </c>
      <c r="D91" s="21" t="s">
        <v>16</v>
      </c>
    </row>
    <row r="92" spans="1:4" ht="38" x14ac:dyDescent="0.2">
      <c r="A92" s="22" t="s">
        <v>76</v>
      </c>
      <c r="B92" s="23"/>
      <c r="C92" s="24"/>
      <c r="D92" s="22"/>
    </row>
    <row r="93" spans="1:4" ht="38" x14ac:dyDescent="0.2">
      <c r="A93" s="25" t="s">
        <v>77</v>
      </c>
      <c r="B93" s="26"/>
      <c r="C93" s="27"/>
      <c r="D93" s="25"/>
    </row>
    <row r="94" spans="1:4" ht="38" x14ac:dyDescent="0.2">
      <c r="A94" s="22" t="s">
        <v>78</v>
      </c>
      <c r="B94" s="23"/>
      <c r="C94" s="24"/>
      <c r="D94" s="22"/>
    </row>
    <row r="95" spans="1:4" ht="38" x14ac:dyDescent="0.2">
      <c r="A95" s="25" t="s">
        <v>79</v>
      </c>
      <c r="B95" s="26"/>
      <c r="C95" s="27"/>
      <c r="D95" s="25"/>
    </row>
    <row r="96" spans="1:4" ht="38" x14ac:dyDescent="0.2">
      <c r="A96" s="22" t="s">
        <v>80</v>
      </c>
      <c r="B96" s="23"/>
      <c r="C96" s="24"/>
      <c r="D96" s="22"/>
    </row>
    <row r="97" spans="1:4" ht="38" x14ac:dyDescent="0.2">
      <c r="A97" s="25" t="s">
        <v>81</v>
      </c>
      <c r="B97" s="26"/>
      <c r="C97" s="27"/>
      <c r="D97" s="25"/>
    </row>
    <row r="98" spans="1:4" ht="38" x14ac:dyDescent="0.2">
      <c r="A98" s="22" t="s">
        <v>82</v>
      </c>
      <c r="B98" s="23"/>
      <c r="C98" s="24"/>
      <c r="D98" s="22"/>
    </row>
    <row r="99" spans="1:4" ht="38" x14ac:dyDescent="0.2">
      <c r="A99" s="25" t="s">
        <v>83</v>
      </c>
      <c r="B99" s="26"/>
      <c r="C99" s="27"/>
      <c r="D99" s="25"/>
    </row>
    <row r="100" spans="1:4" ht="38" x14ac:dyDescent="0.2">
      <c r="A100" s="22" t="s">
        <v>84</v>
      </c>
      <c r="B100" s="23"/>
      <c r="C100" s="24"/>
      <c r="D100" s="22"/>
    </row>
    <row r="101" spans="1:4" ht="38" x14ac:dyDescent="0.2">
      <c r="A101" s="25" t="s">
        <v>85</v>
      </c>
      <c r="B101" s="26"/>
      <c r="C101" s="27"/>
      <c r="D101" s="25"/>
    </row>
    <row r="102" spans="1:4" ht="19" x14ac:dyDescent="0.25">
      <c r="A102" s="19"/>
      <c r="B102" s="19"/>
      <c r="C102" s="19"/>
      <c r="D102" s="19"/>
    </row>
    <row r="103" spans="1:4" ht="27" customHeight="1" x14ac:dyDescent="0.2">
      <c r="A103" s="39" t="s">
        <v>86</v>
      </c>
      <c r="B103" s="39"/>
      <c r="C103" s="39"/>
      <c r="D103" s="39"/>
    </row>
    <row r="104" spans="1:4" ht="18" x14ac:dyDescent="0.2">
      <c r="A104" s="20" t="s">
        <v>13</v>
      </c>
      <c r="B104" s="21" t="s">
        <v>14</v>
      </c>
      <c r="C104" s="21" t="s">
        <v>15</v>
      </c>
      <c r="D104" s="21" t="s">
        <v>16</v>
      </c>
    </row>
    <row r="105" spans="1:4" ht="19" x14ac:dyDescent="0.2">
      <c r="A105" s="22" t="s">
        <v>87</v>
      </c>
      <c r="B105" s="23"/>
      <c r="C105" s="24"/>
      <c r="D105" s="22"/>
    </row>
    <row r="106" spans="1:4" ht="19" x14ac:dyDescent="0.2">
      <c r="A106" s="25" t="s">
        <v>88</v>
      </c>
      <c r="B106" s="26"/>
      <c r="C106" s="27"/>
      <c r="D106" s="25"/>
    </row>
    <row r="107" spans="1:4" ht="19" x14ac:dyDescent="0.2">
      <c r="A107" s="22" t="s">
        <v>89</v>
      </c>
      <c r="B107" s="23"/>
      <c r="C107" s="24"/>
      <c r="D107" s="22"/>
    </row>
    <row r="108" spans="1:4" ht="19" x14ac:dyDescent="0.2">
      <c r="A108" s="25" t="s">
        <v>90</v>
      </c>
      <c r="B108" s="26"/>
      <c r="C108" s="27"/>
      <c r="D108" s="25"/>
    </row>
    <row r="109" spans="1:4" ht="38" x14ac:dyDescent="0.2">
      <c r="A109" s="22" t="s">
        <v>91</v>
      </c>
      <c r="B109" s="23"/>
      <c r="C109" s="24"/>
      <c r="D109" s="22"/>
    </row>
    <row r="110" spans="1:4" ht="38" x14ac:dyDescent="0.2">
      <c r="A110" s="25" t="s">
        <v>92</v>
      </c>
      <c r="B110" s="26"/>
      <c r="C110" s="27"/>
      <c r="D110" s="25"/>
    </row>
    <row r="111" spans="1:4" ht="19" x14ac:dyDescent="0.25">
      <c r="A111" s="19"/>
      <c r="B111" s="19"/>
      <c r="C111" s="19"/>
      <c r="D111" s="19"/>
    </row>
    <row r="112" spans="1:4" ht="29" customHeight="1" x14ac:dyDescent="0.2">
      <c r="A112" s="39" t="s">
        <v>93</v>
      </c>
      <c r="B112" s="39"/>
      <c r="C112" s="39"/>
      <c r="D112" s="39"/>
    </row>
    <row r="113" spans="1:4" ht="18" x14ac:dyDescent="0.2">
      <c r="A113" s="20" t="s">
        <v>13</v>
      </c>
      <c r="B113" s="21" t="s">
        <v>14</v>
      </c>
      <c r="C113" s="21" t="s">
        <v>15</v>
      </c>
      <c r="D113" s="21" t="s">
        <v>16</v>
      </c>
    </row>
    <row r="114" spans="1:4" ht="19" x14ac:dyDescent="0.2">
      <c r="A114" s="22" t="s">
        <v>94</v>
      </c>
      <c r="B114" s="23"/>
      <c r="C114" s="24"/>
      <c r="D114" s="22"/>
    </row>
    <row r="115" spans="1:4" ht="38" x14ac:dyDescent="0.2">
      <c r="A115" s="25" t="s">
        <v>95</v>
      </c>
      <c r="B115" s="26"/>
      <c r="C115" s="27"/>
      <c r="D115" s="25"/>
    </row>
    <row r="116" spans="1:4" ht="38" x14ac:dyDescent="0.2">
      <c r="A116" s="22" t="s">
        <v>96</v>
      </c>
      <c r="B116" s="23"/>
      <c r="C116" s="24"/>
      <c r="D116" s="22"/>
    </row>
    <row r="117" spans="1:4" ht="19" x14ac:dyDescent="0.2">
      <c r="A117" s="25" t="s">
        <v>97</v>
      </c>
      <c r="B117" s="26"/>
      <c r="C117" s="27"/>
      <c r="D117" s="25"/>
    </row>
    <row r="118" spans="1:4" ht="38" x14ac:dyDescent="0.2">
      <c r="A118" s="22" t="s">
        <v>98</v>
      </c>
      <c r="B118" s="23"/>
      <c r="C118" s="24"/>
      <c r="D118" s="22"/>
    </row>
    <row r="119" spans="1:4" ht="19" x14ac:dyDescent="0.25">
      <c r="A119" s="19"/>
      <c r="B119" s="19"/>
      <c r="C119" s="19"/>
      <c r="D119" s="19"/>
    </row>
    <row r="120" spans="1:4" ht="30" customHeight="1" x14ac:dyDescent="0.2">
      <c r="A120" s="39" t="s">
        <v>99</v>
      </c>
      <c r="B120" s="39"/>
      <c r="C120" s="39"/>
      <c r="D120" s="39"/>
    </row>
    <row r="121" spans="1:4" ht="18" x14ac:dyDescent="0.2">
      <c r="A121" s="20" t="s">
        <v>13</v>
      </c>
      <c r="B121" s="21" t="s">
        <v>14</v>
      </c>
      <c r="C121" s="21" t="s">
        <v>15</v>
      </c>
      <c r="D121" s="21" t="s">
        <v>16</v>
      </c>
    </row>
    <row r="122" spans="1:4" ht="38" x14ac:dyDescent="0.2">
      <c r="A122" s="22" t="s">
        <v>100</v>
      </c>
      <c r="B122" s="23"/>
      <c r="C122" s="24"/>
      <c r="D122" s="22"/>
    </row>
    <row r="123" spans="1:4" ht="19" x14ac:dyDescent="0.2">
      <c r="A123" s="25" t="s">
        <v>101</v>
      </c>
      <c r="B123" s="26"/>
      <c r="C123" s="27"/>
      <c r="D123" s="25"/>
    </row>
    <row r="124" spans="1:4" ht="19" x14ac:dyDescent="0.2">
      <c r="A124" s="22" t="s">
        <v>102</v>
      </c>
      <c r="B124" s="23"/>
      <c r="C124" s="24"/>
      <c r="D124" s="22"/>
    </row>
    <row r="125" spans="1:4" ht="38" x14ac:dyDescent="0.2">
      <c r="A125" s="25" t="s">
        <v>103</v>
      </c>
      <c r="B125" s="26"/>
      <c r="C125" s="27"/>
      <c r="D125" s="25"/>
    </row>
    <row r="126" spans="1:4" ht="19" x14ac:dyDescent="0.25">
      <c r="A126" s="19"/>
      <c r="B126" s="19"/>
      <c r="C126" s="19"/>
      <c r="D126" s="19"/>
    </row>
    <row r="127" spans="1:4" ht="30" customHeight="1" x14ac:dyDescent="0.2">
      <c r="A127" s="39" t="s">
        <v>104</v>
      </c>
      <c r="B127" s="39"/>
      <c r="C127" s="39"/>
      <c r="D127" s="39"/>
    </row>
    <row r="128" spans="1:4" ht="18" x14ac:dyDescent="0.2">
      <c r="A128" s="20" t="s">
        <v>13</v>
      </c>
      <c r="B128" s="21" t="s">
        <v>14</v>
      </c>
      <c r="C128" s="21" t="s">
        <v>15</v>
      </c>
      <c r="D128" s="21" t="s">
        <v>16</v>
      </c>
    </row>
    <row r="129" spans="1:4" ht="19" x14ac:dyDescent="0.2">
      <c r="A129" s="22" t="s">
        <v>105</v>
      </c>
      <c r="B129" s="23"/>
      <c r="C129" s="24"/>
      <c r="D129" s="22"/>
    </row>
    <row r="130" spans="1:4" ht="38" x14ac:dyDescent="0.2">
      <c r="A130" s="25" t="s">
        <v>106</v>
      </c>
      <c r="B130" s="26"/>
      <c r="C130" s="27"/>
      <c r="D130" s="25"/>
    </row>
    <row r="131" spans="1:4" ht="38" x14ac:dyDescent="0.2">
      <c r="A131" s="22" t="s">
        <v>107</v>
      </c>
      <c r="B131" s="23"/>
      <c r="C131" s="24"/>
      <c r="D131" s="22"/>
    </row>
    <row r="132" spans="1:4" ht="38" x14ac:dyDescent="0.2">
      <c r="A132" s="25" t="s">
        <v>108</v>
      </c>
      <c r="B132" s="26"/>
      <c r="C132" s="27"/>
      <c r="D132" s="25"/>
    </row>
    <row r="133" spans="1:4" ht="38" x14ac:dyDescent="0.2">
      <c r="A133" s="22" t="s">
        <v>109</v>
      </c>
      <c r="B133" s="23"/>
      <c r="C133" s="24"/>
      <c r="D133" s="22"/>
    </row>
    <row r="134" spans="1:4" ht="38" x14ac:dyDescent="0.2">
      <c r="A134" s="25" t="s">
        <v>110</v>
      </c>
      <c r="B134" s="26"/>
      <c r="C134" s="27"/>
      <c r="D134" s="25"/>
    </row>
    <row r="135" spans="1:4" ht="38" x14ac:dyDescent="0.2">
      <c r="A135" s="22" t="s">
        <v>111</v>
      </c>
      <c r="B135" s="23"/>
      <c r="C135" s="24"/>
      <c r="D135" s="22"/>
    </row>
    <row r="136" spans="1:4" ht="38" x14ac:dyDescent="0.2">
      <c r="A136" s="25" t="s">
        <v>112</v>
      </c>
      <c r="B136" s="26"/>
      <c r="C136" s="27"/>
      <c r="D136" s="25"/>
    </row>
    <row r="137" spans="1:4" ht="38" x14ac:dyDescent="0.2">
      <c r="A137" s="22" t="s">
        <v>113</v>
      </c>
      <c r="B137" s="23"/>
      <c r="C137" s="24"/>
      <c r="D137" s="22"/>
    </row>
    <row r="138" spans="1:4" ht="38" x14ac:dyDescent="0.2">
      <c r="A138" s="25" t="s">
        <v>114</v>
      </c>
      <c r="B138" s="26"/>
      <c r="C138" s="27"/>
      <c r="D138" s="25"/>
    </row>
    <row r="139" spans="1:4" ht="38" x14ac:dyDescent="0.2">
      <c r="A139" s="22" t="s">
        <v>115</v>
      </c>
      <c r="B139" s="23"/>
      <c r="C139" s="24"/>
      <c r="D139" s="22"/>
    </row>
    <row r="140" spans="1:4" ht="38" x14ac:dyDescent="0.2">
      <c r="A140" s="25" t="s">
        <v>116</v>
      </c>
      <c r="B140" s="26"/>
      <c r="C140" s="27"/>
      <c r="D140" s="25"/>
    </row>
    <row r="141" spans="1:4" ht="38" x14ac:dyDescent="0.2">
      <c r="A141" s="22" t="s">
        <v>117</v>
      </c>
      <c r="B141" s="23"/>
      <c r="C141" s="24"/>
      <c r="D141" s="22"/>
    </row>
    <row r="142" spans="1:4" ht="38" x14ac:dyDescent="0.2">
      <c r="A142" s="25" t="s">
        <v>118</v>
      </c>
      <c r="B142" s="26"/>
      <c r="C142" s="27"/>
      <c r="D142" s="25"/>
    </row>
    <row r="143" spans="1:4" ht="19" x14ac:dyDescent="0.25">
      <c r="A143" s="19"/>
      <c r="B143" s="19"/>
      <c r="C143" s="19"/>
      <c r="D143" s="19"/>
    </row>
    <row r="144" spans="1:4" ht="30" customHeight="1" x14ac:dyDescent="0.2">
      <c r="A144" s="39" t="s">
        <v>119</v>
      </c>
      <c r="B144" s="39"/>
      <c r="C144" s="39"/>
      <c r="D144" s="39"/>
    </row>
    <row r="145" spans="1:4" ht="18" x14ac:dyDescent="0.2">
      <c r="A145" s="20" t="s">
        <v>13</v>
      </c>
      <c r="B145" s="21" t="s">
        <v>14</v>
      </c>
      <c r="C145" s="21" t="s">
        <v>15</v>
      </c>
      <c r="D145" s="21" t="s">
        <v>16</v>
      </c>
    </row>
    <row r="146" spans="1:4" ht="38" x14ac:dyDescent="0.2">
      <c r="A146" s="22" t="s">
        <v>120</v>
      </c>
      <c r="B146" s="23"/>
      <c r="C146" s="24"/>
      <c r="D146" s="22"/>
    </row>
    <row r="147" spans="1:4" ht="38" x14ac:dyDescent="0.2">
      <c r="A147" s="25" t="s">
        <v>121</v>
      </c>
      <c r="B147" s="26"/>
      <c r="C147" s="27"/>
      <c r="D147" s="25"/>
    </row>
    <row r="148" spans="1:4" ht="19" x14ac:dyDescent="0.2">
      <c r="A148" s="22" t="s">
        <v>122</v>
      </c>
      <c r="B148" s="23"/>
      <c r="C148" s="24"/>
      <c r="D148" s="22"/>
    </row>
    <row r="149" spans="1:4" ht="19" x14ac:dyDescent="0.2">
      <c r="A149" s="25" t="s">
        <v>123</v>
      </c>
      <c r="B149" s="26"/>
      <c r="C149" s="27"/>
      <c r="D149" s="25"/>
    </row>
    <row r="150" spans="1:4" ht="38" x14ac:dyDescent="0.2">
      <c r="A150" s="22" t="s">
        <v>124</v>
      </c>
      <c r="B150" s="23"/>
      <c r="C150" s="24"/>
      <c r="D150" s="22"/>
    </row>
    <row r="151" spans="1:4" ht="38" x14ac:dyDescent="0.2">
      <c r="A151" s="25" t="s">
        <v>125</v>
      </c>
      <c r="B151" s="26"/>
      <c r="C151" s="27"/>
      <c r="D151" s="25"/>
    </row>
    <row r="152" spans="1:4" ht="38" x14ac:dyDescent="0.2">
      <c r="A152" s="22" t="s">
        <v>126</v>
      </c>
      <c r="B152" s="23"/>
      <c r="C152" s="24"/>
      <c r="D152" s="22"/>
    </row>
    <row r="153" spans="1:4" ht="38" x14ac:dyDescent="0.2">
      <c r="A153" s="25" t="s">
        <v>127</v>
      </c>
      <c r="B153" s="26"/>
      <c r="C153" s="27"/>
      <c r="D153" s="25"/>
    </row>
    <row r="154" spans="1:4" ht="19" x14ac:dyDescent="0.2">
      <c r="A154" s="22" t="s">
        <v>128</v>
      </c>
      <c r="B154" s="23"/>
      <c r="C154" s="24"/>
      <c r="D154" s="22"/>
    </row>
    <row r="155" spans="1:4" ht="19" x14ac:dyDescent="0.2">
      <c r="A155" s="25" t="s">
        <v>129</v>
      </c>
      <c r="B155" s="26"/>
      <c r="C155" s="27"/>
      <c r="D155" s="25"/>
    </row>
    <row r="156" spans="1:4" ht="38" x14ac:dyDescent="0.2">
      <c r="A156" s="22" t="s">
        <v>130</v>
      </c>
      <c r="B156" s="23"/>
      <c r="C156" s="24"/>
      <c r="D156" s="22"/>
    </row>
    <row r="157" spans="1:4" ht="38" x14ac:dyDescent="0.2">
      <c r="A157" s="25" t="s">
        <v>131</v>
      </c>
      <c r="B157" s="26"/>
      <c r="C157" s="27"/>
      <c r="D157" s="25"/>
    </row>
    <row r="158" spans="1:4" ht="38" x14ac:dyDescent="0.2">
      <c r="A158" s="22" t="s">
        <v>132</v>
      </c>
      <c r="B158" s="23"/>
      <c r="C158" s="24"/>
      <c r="D158" s="22"/>
    </row>
    <row r="159" spans="1:4" ht="19" x14ac:dyDescent="0.25">
      <c r="A159" s="19"/>
      <c r="B159" s="19"/>
      <c r="C159" s="19"/>
      <c r="D159" s="19"/>
    </row>
    <row r="160" spans="1:4" ht="30" customHeight="1" x14ac:dyDescent="0.2">
      <c r="A160" s="39" t="s">
        <v>133</v>
      </c>
      <c r="B160" s="39"/>
      <c r="C160" s="39"/>
      <c r="D160" s="39"/>
    </row>
    <row r="161" spans="1:4" ht="18" x14ac:dyDescent="0.2">
      <c r="A161" s="20" t="s">
        <v>13</v>
      </c>
      <c r="B161" s="21" t="s">
        <v>14</v>
      </c>
      <c r="C161" s="21" t="s">
        <v>15</v>
      </c>
      <c r="D161" s="21" t="s">
        <v>16</v>
      </c>
    </row>
    <row r="162" spans="1:4" ht="19" x14ac:dyDescent="0.2">
      <c r="A162" s="22" t="s">
        <v>134</v>
      </c>
      <c r="B162" s="23"/>
      <c r="C162" s="24"/>
      <c r="D162" s="22"/>
    </row>
    <row r="163" spans="1:4" ht="38" x14ac:dyDescent="0.2">
      <c r="A163" s="25" t="s">
        <v>135</v>
      </c>
      <c r="B163" s="26"/>
      <c r="C163" s="27"/>
      <c r="D163" s="25"/>
    </row>
    <row r="164" spans="1:4" ht="19" x14ac:dyDescent="0.2">
      <c r="A164" s="22" t="s">
        <v>136</v>
      </c>
      <c r="B164" s="23"/>
      <c r="C164" s="24"/>
      <c r="D164" s="22"/>
    </row>
    <row r="165" spans="1:4" ht="38" x14ac:dyDescent="0.2">
      <c r="A165" s="25" t="s">
        <v>137</v>
      </c>
      <c r="B165" s="26"/>
      <c r="C165" s="27"/>
      <c r="D165" s="25"/>
    </row>
    <row r="166" spans="1:4" ht="38" x14ac:dyDescent="0.2">
      <c r="A166" s="22" t="s">
        <v>138</v>
      </c>
      <c r="B166" s="23"/>
      <c r="C166" s="24"/>
      <c r="D166" s="22"/>
    </row>
    <row r="167" spans="1:4" ht="38" x14ac:dyDescent="0.2">
      <c r="A167" s="25" t="s">
        <v>139</v>
      </c>
      <c r="B167" s="26"/>
      <c r="C167" s="27"/>
      <c r="D167" s="25"/>
    </row>
    <row r="168" spans="1:4" ht="19" x14ac:dyDescent="0.25">
      <c r="A168" s="19"/>
      <c r="B168" s="19"/>
      <c r="C168" s="19"/>
      <c r="D168" s="19"/>
    </row>
    <row r="169" spans="1:4" ht="19" x14ac:dyDescent="0.25">
      <c r="A169" s="19"/>
      <c r="B169" s="19"/>
      <c r="C169" s="19"/>
      <c r="D169" s="19"/>
    </row>
  </sheetData>
  <mergeCells count="21">
    <mergeCell ref="A1:D1"/>
    <mergeCell ref="A2:D2"/>
    <mergeCell ref="A7:D7"/>
    <mergeCell ref="A10:B10"/>
    <mergeCell ref="C10:D10"/>
    <mergeCell ref="A12:D12"/>
    <mergeCell ref="A14:D14"/>
    <mergeCell ref="A26:D26"/>
    <mergeCell ref="A36:D36"/>
    <mergeCell ref="A45:D45"/>
    <mergeCell ref="A54:D54"/>
    <mergeCell ref="A63:D63"/>
    <mergeCell ref="A72:D72"/>
    <mergeCell ref="A81:D81"/>
    <mergeCell ref="A90:D90"/>
    <mergeCell ref="A160:D160"/>
    <mergeCell ref="A103:D103"/>
    <mergeCell ref="A112:D112"/>
    <mergeCell ref="A120:D120"/>
    <mergeCell ref="A127:D127"/>
    <mergeCell ref="A144:D144"/>
  </mergeCells>
  <conditionalFormatting sqref="C10:D10">
    <cfRule type="expression" dxfId="4" priority="2">
      <formula>EXACT($C$10,"EXCELENTE")</formula>
    </cfRule>
    <cfRule type="expression" dxfId="3" priority="3">
      <formula>EXACT($C$10,"MUY BUENO")</formula>
    </cfRule>
    <cfRule type="expression" dxfId="2" priority="4">
      <formula>EXACT($C$10,"ACEPTABLE")</formula>
    </cfRule>
    <cfRule type="expression" dxfId="1" priority="5">
      <formula>EXACT($C$10,"RIESGO DE PÉRDIDA DE RENTABILIDAD")</formula>
    </cfRule>
    <cfRule type="expression" dxfId="0" priority="6">
      <formula>EXACT($C$10,"SERVICIO CRÍTICO – INTERVENCIÓN INMEDIATA")</formula>
    </cfRule>
  </conditionalFormatting>
  <dataValidations count="1">
    <dataValidation type="list" allowBlank="1" sqref="B16:C24 B28:C34 B38:C43 B47:C52 B56:C61 B65:C70 B74:C79 B83:C88 B92:C101 B105:C110 B114:C118 B122:C125 B129:C142 B146:C158 B162:C167" xr:uid="{00000000-0002-0000-0000-000000000000}">
      <formula1>"X"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zoomScaleNormal="100" workbookViewId="0"/>
  </sheetViews>
  <sheetFormatPr baseColWidth="10" defaultColWidth="8.6640625" defaultRowHeight="15" x14ac:dyDescent="0.2"/>
  <cols>
    <col min="1" max="1" width="42" customWidth="1"/>
    <col min="2" max="3" width="10" customWidth="1"/>
    <col min="4" max="4" width="14" customWidth="1"/>
  </cols>
  <sheetData>
    <row r="1" spans="1:4" ht="19.5" customHeight="1" x14ac:dyDescent="0.2">
      <c r="A1" s="50" t="s">
        <v>140</v>
      </c>
      <c r="B1" s="50"/>
      <c r="C1" s="50"/>
      <c r="D1" s="50"/>
    </row>
    <row r="2" spans="1:4" x14ac:dyDescent="0.2">
      <c r="A2" s="1" t="s">
        <v>9</v>
      </c>
      <c r="B2" s="51" t="s">
        <v>141</v>
      </c>
      <c r="C2" s="51"/>
      <c r="D2" s="2" t="s">
        <v>142</v>
      </c>
    </row>
    <row r="3" spans="1:4" x14ac:dyDescent="0.2">
      <c r="A3" s="3" t="s">
        <v>143</v>
      </c>
      <c r="B3" s="52" t="s">
        <v>144</v>
      </c>
      <c r="C3" s="52"/>
      <c r="D3" s="4" t="s">
        <v>145</v>
      </c>
    </row>
    <row r="4" spans="1:4" x14ac:dyDescent="0.2">
      <c r="A4" s="5" t="s">
        <v>146</v>
      </c>
      <c r="B4" s="53" t="s">
        <v>147</v>
      </c>
      <c r="C4" s="53"/>
      <c r="D4" s="6" t="s">
        <v>148</v>
      </c>
    </row>
    <row r="5" spans="1:4" x14ac:dyDescent="0.2">
      <c r="A5" s="7" t="s">
        <v>149</v>
      </c>
      <c r="B5" s="54" t="s">
        <v>150</v>
      </c>
      <c r="C5" s="54"/>
      <c r="D5" s="8" t="s">
        <v>151</v>
      </c>
    </row>
    <row r="6" spans="1:4" x14ac:dyDescent="0.2">
      <c r="A6" s="9" t="s">
        <v>152</v>
      </c>
      <c r="B6" s="48" t="s">
        <v>153</v>
      </c>
      <c r="C6" s="48"/>
      <c r="D6" s="10" t="s">
        <v>154</v>
      </c>
    </row>
    <row r="7" spans="1:4" x14ac:dyDescent="0.2">
      <c r="A7" s="11" t="s">
        <v>155</v>
      </c>
      <c r="B7" s="49" t="s">
        <v>156</v>
      </c>
      <c r="C7" s="49"/>
      <c r="D7" s="12" t="s">
        <v>157</v>
      </c>
    </row>
    <row r="9" spans="1:4" ht="19.5" customHeight="1" x14ac:dyDescent="0.2">
      <c r="A9" s="50" t="s">
        <v>158</v>
      </c>
      <c r="B9" s="50"/>
      <c r="C9" s="50"/>
      <c r="D9" s="50"/>
    </row>
    <row r="10" spans="1:4" x14ac:dyDescent="0.2">
      <c r="A10" s="1" t="s">
        <v>159</v>
      </c>
      <c r="B10" s="2" t="s">
        <v>14</v>
      </c>
      <c r="C10" s="2" t="s">
        <v>15</v>
      </c>
      <c r="D10" s="2" t="s">
        <v>160</v>
      </c>
    </row>
    <row r="11" spans="1:4" x14ac:dyDescent="0.2">
      <c r="A11" s="13" t="s">
        <v>161</v>
      </c>
      <c r="B11" s="14">
        <f>COUNTIF('Checklist Inventario'!B16:B24,"X")</f>
        <v>1</v>
      </c>
      <c r="C11" s="14">
        <f>COUNTIF('Checklist Inventario'!C16:C24,"X")</f>
        <v>1</v>
      </c>
      <c r="D11" s="15">
        <f t="shared" ref="D11:D25" si="0">IFERROR(B11/(B11+C11),"-")</f>
        <v>0.5</v>
      </c>
    </row>
    <row r="12" spans="1:4" x14ac:dyDescent="0.2">
      <c r="A12" s="16" t="s">
        <v>162</v>
      </c>
      <c r="B12" s="17">
        <f>COUNTIF('Checklist Inventario'!B28:B34,"X")</f>
        <v>0</v>
      </c>
      <c r="C12" s="17">
        <f>COUNTIF('Checklist Inventario'!C28:C34,"X")</f>
        <v>0</v>
      </c>
      <c r="D12" s="18" t="str">
        <f t="shared" si="0"/>
        <v>-</v>
      </c>
    </row>
    <row r="13" spans="1:4" x14ac:dyDescent="0.2">
      <c r="A13" s="13" t="s">
        <v>163</v>
      </c>
      <c r="B13" s="14">
        <f>COUNTIF('Checklist Inventario'!B38:B43,"X")</f>
        <v>0</v>
      </c>
      <c r="C13" s="14">
        <f>COUNTIF('Checklist Inventario'!C38:C43,"X")</f>
        <v>0</v>
      </c>
      <c r="D13" s="15" t="str">
        <f t="shared" si="0"/>
        <v>-</v>
      </c>
    </row>
    <row r="14" spans="1:4" x14ac:dyDescent="0.2">
      <c r="A14" s="16" t="s">
        <v>164</v>
      </c>
      <c r="B14" s="17">
        <f>COUNTIF('Checklist Inventario'!B47:B52,"X")</f>
        <v>0</v>
      </c>
      <c r="C14" s="17">
        <f>COUNTIF('Checklist Inventario'!C47:C52,"X")</f>
        <v>0</v>
      </c>
      <c r="D14" s="18" t="str">
        <f t="shared" si="0"/>
        <v>-</v>
      </c>
    </row>
    <row r="15" spans="1:4" x14ac:dyDescent="0.2">
      <c r="A15" s="13" t="s">
        <v>165</v>
      </c>
      <c r="B15" s="14">
        <f>COUNTIF('Checklist Inventario'!B56:B61,"X")</f>
        <v>0</v>
      </c>
      <c r="C15" s="14">
        <f>COUNTIF('Checklist Inventario'!C56:C61,"X")</f>
        <v>0</v>
      </c>
      <c r="D15" s="15" t="str">
        <f t="shared" si="0"/>
        <v>-</v>
      </c>
    </row>
    <row r="16" spans="1:4" x14ac:dyDescent="0.2">
      <c r="A16" s="16" t="s">
        <v>166</v>
      </c>
      <c r="B16" s="17">
        <f>COUNTIF('Checklist Inventario'!B65:B70,"X")</f>
        <v>0</v>
      </c>
      <c r="C16" s="17">
        <f>COUNTIF('Checklist Inventario'!C65:C70,"X")</f>
        <v>0</v>
      </c>
      <c r="D16" s="18" t="str">
        <f t="shared" si="0"/>
        <v>-</v>
      </c>
    </row>
    <row r="17" spans="1:4" x14ac:dyDescent="0.2">
      <c r="A17" s="13" t="s">
        <v>167</v>
      </c>
      <c r="B17" s="14">
        <f>COUNTIF('Checklist Inventario'!B74:B79,"X")</f>
        <v>0</v>
      </c>
      <c r="C17" s="14">
        <f>COUNTIF('Checklist Inventario'!C74:C79,"X")</f>
        <v>0</v>
      </c>
      <c r="D17" s="15" t="str">
        <f t="shared" si="0"/>
        <v>-</v>
      </c>
    </row>
    <row r="18" spans="1:4" x14ac:dyDescent="0.2">
      <c r="A18" s="16" t="s">
        <v>168</v>
      </c>
      <c r="B18" s="17">
        <f>COUNTIF('Checklist Inventario'!B83:B88,"X")</f>
        <v>0</v>
      </c>
      <c r="C18" s="17">
        <f>COUNTIF('Checklist Inventario'!C83:C88,"X")</f>
        <v>0</v>
      </c>
      <c r="D18" s="18" t="str">
        <f t="shared" si="0"/>
        <v>-</v>
      </c>
    </row>
    <row r="19" spans="1:4" ht="26" x14ac:dyDescent="0.2">
      <c r="A19" s="13" t="s">
        <v>169</v>
      </c>
      <c r="B19" s="14">
        <f>COUNTIF('Checklist Inventario'!B92:B101,"X")</f>
        <v>0</v>
      </c>
      <c r="C19" s="14">
        <f>COUNTIF('Checklist Inventario'!C92:C101,"X")</f>
        <v>0</v>
      </c>
      <c r="D19" s="15" t="str">
        <f t="shared" si="0"/>
        <v>-</v>
      </c>
    </row>
    <row r="20" spans="1:4" x14ac:dyDescent="0.2">
      <c r="A20" s="16" t="s">
        <v>170</v>
      </c>
      <c r="B20" s="17">
        <f>COUNTIF('Checklist Inventario'!B105:B110,"X")</f>
        <v>0</v>
      </c>
      <c r="C20" s="17">
        <f>COUNTIF('Checklist Inventario'!C105:C110,"X")</f>
        <v>0</v>
      </c>
      <c r="D20" s="18" t="str">
        <f t="shared" si="0"/>
        <v>-</v>
      </c>
    </row>
    <row r="21" spans="1:4" x14ac:dyDescent="0.2">
      <c r="A21" s="13" t="s">
        <v>171</v>
      </c>
      <c r="B21" s="14">
        <f>COUNTIF('Checklist Inventario'!B114:B118,"X")</f>
        <v>0</v>
      </c>
      <c r="C21" s="14">
        <f>COUNTIF('Checklist Inventario'!C114:C118,"X")</f>
        <v>0</v>
      </c>
      <c r="D21" s="15" t="str">
        <f t="shared" si="0"/>
        <v>-</v>
      </c>
    </row>
    <row r="22" spans="1:4" x14ac:dyDescent="0.2">
      <c r="A22" s="16" t="s">
        <v>172</v>
      </c>
      <c r="B22" s="17">
        <f>COUNTIF('Checklist Inventario'!B122:B125,"X")</f>
        <v>0</v>
      </c>
      <c r="C22" s="17">
        <f>COUNTIF('Checklist Inventario'!C122:C125,"X")</f>
        <v>0</v>
      </c>
      <c r="D22" s="18" t="str">
        <f t="shared" si="0"/>
        <v>-</v>
      </c>
    </row>
    <row r="23" spans="1:4" x14ac:dyDescent="0.2">
      <c r="A23" s="13" t="s">
        <v>173</v>
      </c>
      <c r="B23" s="14">
        <f>COUNTIF('Checklist Inventario'!B129:B142,"X")</f>
        <v>0</v>
      </c>
      <c r="C23" s="14">
        <f>COUNTIF('Checklist Inventario'!C129:C142,"X")</f>
        <v>0</v>
      </c>
      <c r="D23" s="15" t="str">
        <f t="shared" si="0"/>
        <v>-</v>
      </c>
    </row>
    <row r="24" spans="1:4" x14ac:dyDescent="0.2">
      <c r="A24" s="16" t="s">
        <v>174</v>
      </c>
      <c r="B24" s="17">
        <f>COUNTIF('Checklist Inventario'!B146:B158,"X")</f>
        <v>0</v>
      </c>
      <c r="C24" s="17">
        <f>COUNTIF('Checklist Inventario'!C146:C158,"X")</f>
        <v>0</v>
      </c>
      <c r="D24" s="18" t="str">
        <f t="shared" si="0"/>
        <v>-</v>
      </c>
    </row>
    <row r="25" spans="1:4" x14ac:dyDescent="0.2">
      <c r="A25" s="13" t="s">
        <v>175</v>
      </c>
      <c r="B25" s="14">
        <f>COUNTIF('Checklist Inventario'!B162:B167,"X")</f>
        <v>0</v>
      </c>
      <c r="C25" s="14">
        <f>COUNTIF('Checklist Inventario'!C162:C167,"X")</f>
        <v>0</v>
      </c>
      <c r="D25" s="15" t="str">
        <f t="shared" si="0"/>
        <v>-</v>
      </c>
    </row>
  </sheetData>
  <mergeCells count="8">
    <mergeCell ref="B6:C6"/>
    <mergeCell ref="B7:C7"/>
    <mergeCell ref="A9:D9"/>
    <mergeCell ref="A1:D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Inventario</vt:lpstr>
      <vt:lpstr>Bandas y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2026-06-06T07:51:37Z</dcterms:created>
  <dcterms:modified xsi:type="dcterms:W3CDTF">2026-07-06T15:51:05Z</dcterms:modified>
  <dc:language>en-US</dc:language>
</cp:coreProperties>
</file>