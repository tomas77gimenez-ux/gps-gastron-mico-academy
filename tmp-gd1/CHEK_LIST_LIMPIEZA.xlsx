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gimeto/Desktop/"/>
    </mc:Choice>
  </mc:AlternateContent>
  <xr:revisionPtr revIDLastSave="0" documentId="13_ncr:1_{D5D11A68-C0F2-A141-939E-E85F349FA9AB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Diagnóstico Limpieza" sheetId="1" r:id="rId1"/>
  </sheets>
  <definedNames>
    <definedName name="_xlnm.Print_Area" localSheetId="0">'Diagnóstico Limpieza'!$A$1:$F$104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6" i="1" l="1"/>
  <c r="E95" i="1"/>
  <c r="C10" i="1" s="1"/>
  <c r="D11" i="1" s="1"/>
  <c r="E94" i="1"/>
  <c r="E93" i="1"/>
  <c r="E92" i="1"/>
  <c r="E97" i="1" s="1"/>
  <c r="F22" i="1" s="1"/>
  <c r="E88" i="1"/>
  <c r="E87" i="1"/>
  <c r="E86" i="1"/>
  <c r="E89" i="1" s="1"/>
  <c r="F21" i="1" s="1"/>
  <c r="E85" i="1"/>
  <c r="E84" i="1"/>
  <c r="E80" i="1"/>
  <c r="E79" i="1"/>
  <c r="E78" i="1"/>
  <c r="E77" i="1"/>
  <c r="E76" i="1"/>
  <c r="E81" i="1" s="1"/>
  <c r="F20" i="1" s="1"/>
  <c r="E72" i="1"/>
  <c r="E73" i="1" s="1"/>
  <c r="F19" i="1" s="1"/>
  <c r="E71" i="1"/>
  <c r="E70" i="1"/>
  <c r="E69" i="1"/>
  <c r="E68" i="1"/>
  <c r="E64" i="1"/>
  <c r="E63" i="1"/>
  <c r="E62" i="1"/>
  <c r="E61" i="1"/>
  <c r="E60" i="1"/>
  <c r="E65" i="1" s="1"/>
  <c r="F18" i="1" s="1"/>
  <c r="E56" i="1"/>
  <c r="E55" i="1"/>
  <c r="E54" i="1"/>
  <c r="E53" i="1"/>
  <c r="E52" i="1"/>
  <c r="E51" i="1"/>
  <c r="E57" i="1" s="1"/>
  <c r="F17" i="1" s="1"/>
  <c r="E47" i="1"/>
  <c r="E46" i="1"/>
  <c r="E48" i="1" s="1"/>
  <c r="F16" i="1" s="1"/>
  <c r="E45" i="1"/>
  <c r="E44" i="1"/>
  <c r="E43" i="1"/>
  <c r="E42" i="1"/>
  <c r="E38" i="1"/>
  <c r="E37" i="1"/>
  <c r="E36" i="1"/>
  <c r="E35" i="1"/>
  <c r="E34" i="1"/>
  <c r="E39" i="1" s="1"/>
  <c r="F15" i="1" s="1"/>
  <c r="E33" i="1"/>
  <c r="E29" i="1"/>
  <c r="E28" i="1"/>
  <c r="E27" i="1"/>
  <c r="E26" i="1"/>
  <c r="E25" i="1"/>
  <c r="E30" i="1" s="1"/>
  <c r="F14" i="1" s="1"/>
</calcChain>
</file>

<file path=xl/sharedStrings.xml><?xml version="1.0" encoding="utf-8"?>
<sst xmlns="http://schemas.openxmlformats.org/spreadsheetml/2006/main" count="132" uniqueCount="90">
  <si>
    <t>GPS GASTRONÓMICO   —   Diagnóstico de Limpieza y Sanitización</t>
  </si>
  <si>
    <t>Protocolo de limpieza y sanitización (POES / SSOP) adaptable a distintos países y regiones</t>
  </si>
  <si>
    <t>Local:</t>
  </si>
  <si>
    <t>Turno:</t>
  </si>
  <si>
    <t>Responsable:</t>
  </si>
  <si>
    <t>Fecha:</t>
  </si>
  <si>
    <t>RESULTADO DEL DIAGNÓSTICO</t>
  </si>
  <si>
    <t>ÍNDICE DE LIMPIEZA</t>
  </si>
  <si>
    <t>ESTADO</t>
  </si>
  <si>
    <t>ÁREA</t>
  </si>
  <si>
    <t>CUMPLIMIENTO</t>
  </si>
  <si>
    <t>A. PLAN DE LIMPIEZA Y SANITIZACIÓN (POES / SSOP)</t>
  </si>
  <si>
    <t>B. PRODUCTOS QUÍMICOS Y DOSIFICACIÓN</t>
  </si>
  <si>
    <t>C. SUPERFICIES Y EQUIPOS DE COCINA</t>
  </si>
  <si>
    <t>D. VAJILLA Y UTENSILIOS (LAVADO)</t>
  </si>
  <si>
    <t>E. PISOS, PAREDES, TECHOS Y DESAGÜES</t>
  </si>
  <si>
    <t>F. ÁREAS DE ALMACENAMIENTO</t>
  </si>
  <si>
    <t>G. RESIDUOS Y BASURA</t>
  </si>
  <si>
    <t>H. BAÑOS, VESTUARIOS Y SALÓN</t>
  </si>
  <si>
    <t>I. VERIFICACIÓN Y REGISTROS</t>
  </si>
  <si>
    <t>PTS</t>
  </si>
  <si>
    <t>OBSERVACIONES</t>
  </si>
  <si>
    <t>Plan de limpieza documentado (qué, cómo, cuándo, quién)</t>
  </si>
  <si>
    <t>Cronograma de frecuencias visible y cumplido</t>
  </si>
  <si>
    <t>Responsables asignados por área y turno</t>
  </si>
  <si>
    <t>Registros de limpieza firmados y al día</t>
  </si>
  <si>
    <t>Fichas técnicas de productos de limpieza disponibles</t>
  </si>
  <si>
    <t>Subtotal — Plan de limpieza y sanitización (poes / ssop)</t>
  </si>
  <si>
    <t>Cumplimiento:</t>
  </si>
  <si>
    <t>Productos rotulados en su envase original</t>
  </si>
  <si>
    <t>Detergentes y sanitizantes aptos para uso alimentario</t>
  </si>
  <si>
    <t>Dosificación correcta según ficha técnica</t>
  </si>
  <si>
    <t>Almacenamiento separado de alimentos y bajo llave</t>
  </si>
  <si>
    <t>Sin trasvasado a envases sin rótulo</t>
  </si>
  <si>
    <t>Hojas de seguridad (MSDS) accesibles</t>
  </si>
  <si>
    <t>Subtotal — Productos químicos y dosificación</t>
  </si>
  <si>
    <t>Mesadas y superficies de contacto sanitizadas</t>
  </si>
  <si>
    <t>Campana y filtros sin grasa acumulada</t>
  </si>
  <si>
    <t>Cocina, planchas y hornos limpios</t>
  </si>
  <si>
    <t>Heladeras / cámaras limpias por dentro (sin derrames)</t>
  </si>
  <si>
    <t>Licuadoras y procesadoras desarmadas y limpias</t>
  </si>
  <si>
    <t>Equipos apagados y seguros durante la limpieza</t>
  </si>
  <si>
    <t>Subtotal — Superficies y equipos de cocina</t>
  </si>
  <si>
    <t>Prelavado y remoción de residuos correcto</t>
  </si>
  <si>
    <t>Lavavajillas: temperatura de lavado adecuada</t>
  </si>
  <si>
    <t>Lavavajillas: enjuague/sanitizado adecuado</t>
  </si>
  <si>
    <t>Secado al aire (sin repasadores contaminantes)</t>
  </si>
  <si>
    <t>Utensilios guardados limpios y protegidos</t>
  </si>
  <si>
    <t>Cristalería y cubertería sin residuos ni marcas</t>
  </si>
  <si>
    <t>Subtotal — Vajilla y utensilios (lavado)</t>
  </si>
  <si>
    <t>Pisos limpios, secos y sin acumulación</t>
  </si>
  <si>
    <t>Paredes y zócalos sin suciedad ni hongos</t>
  </si>
  <si>
    <t>Techos y luminarias sin polvo ni telarañas</t>
  </si>
  <si>
    <t>Desagües y rejillas limpios y sin olores</t>
  </si>
  <si>
    <t>Sin agua estancada</t>
  </si>
  <si>
    <t>Subtotal — Pisos, paredes, techos y desagües</t>
  </si>
  <si>
    <t>Depósito de secos limpio y ordenado</t>
  </si>
  <si>
    <t>Estanterías limpias, sin contacto con el piso</t>
  </si>
  <si>
    <t>Cámaras y heladeras organizadas y limpias</t>
  </si>
  <si>
    <t>Sin cajas de cartón en zonas húmedas o frías</t>
  </si>
  <si>
    <t>Rotación y orden (PEPS) mantenidos</t>
  </si>
  <si>
    <t>Subtotal — Áreas de almacenamiento</t>
  </si>
  <si>
    <t>Basureros con tapa, a pedal y con bolsa</t>
  </si>
  <si>
    <t>Vaciado frecuente, sin desbordes</t>
  </si>
  <si>
    <t>Zona de residuos limpia y desinfectada</t>
  </si>
  <si>
    <t>Separación de residuos (si aplica)</t>
  </si>
  <si>
    <t>Contenedores externos tapados</t>
  </si>
  <si>
    <t>Subtotal — Residuos y basura</t>
  </si>
  <si>
    <t>Baños limpios y sanitizados por turno</t>
  </si>
  <si>
    <t>Vestuarios y lockers ordenados y limpios</t>
  </si>
  <si>
    <t>Salón: pisos, mesas y superficies limpias</t>
  </si>
  <si>
    <t>Estaciones de servicio sanitizadas</t>
  </si>
  <si>
    <t>Elementos de limpieza fuera de la vista del cliente</t>
  </si>
  <si>
    <t>Subtotal — Baños, vestuarios y salón</t>
  </si>
  <si>
    <t>Verificación visual post-limpieza realizada</t>
  </si>
  <si>
    <t>Tiempo de contacto del sanitizante respetado</t>
  </si>
  <si>
    <t>Registros de limpieza completos y firmados</t>
  </si>
  <si>
    <t>Acciones correctivas documentadas ante desvíos</t>
  </si>
  <si>
    <t>Capacitación del personal en limpieza vigente</t>
  </si>
  <si>
    <t>Subtotal — Verificación y registros</t>
  </si>
  <si>
    <t>Escala diagnóstica</t>
  </si>
  <si>
    <t>≥ 90%</t>
  </si>
  <si>
    <t>ÓPTIMO — Limpieza bajo control</t>
  </si>
  <si>
    <t>75 – 89%</t>
  </si>
  <si>
    <t>ACEPTABLE — Desvíos menores</t>
  </si>
  <si>
    <t>60 – 74%</t>
  </si>
  <si>
    <t>RIESGO MEDIO — Acción correctiva</t>
  </si>
  <si>
    <t>&lt; 60%</t>
  </si>
  <si>
    <t>RIESGO ALTO — Re-limpiar antes de operar</t>
  </si>
  <si>
    <t>Nota: adaptá las frecuencias y los productos de sanitización a la normativa local y a las fichas técnicas de tu proveedor.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</si>
</sst>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A6B7B"/>
      <name val="Arial"/>
      <family val="2"/>
    </font>
    <font>
      <b/>
      <sz val="9"/>
      <color rgb="FF0A2540"/>
      <name val="Arial"/>
      <family val="2"/>
    </font>
    <font>
      <sz val="10"/>
      <color rgb="FF1A1A1A"/>
      <name val="Arial"/>
      <family val="2"/>
    </font>
    <font>
      <b/>
      <sz val="12"/>
      <color rgb="FFFFFFFF"/>
      <name val="Arial"/>
      <family val="2"/>
    </font>
    <font>
      <b/>
      <sz val="11"/>
      <color rgb="FF0A2540"/>
      <name val="Arial"/>
      <family val="2"/>
    </font>
    <font>
      <b/>
      <sz val="26"/>
      <color rgb="FF0A2540"/>
      <name val="Arial"/>
      <family val="2"/>
    </font>
    <font>
      <b/>
      <sz val="10"/>
      <color rgb="FF0A2540"/>
      <name val="Arial"/>
      <family val="2"/>
    </font>
    <font>
      <b/>
      <sz val="12"/>
      <color rgb="FF0A2540"/>
      <name val="Arial"/>
      <family val="2"/>
    </font>
    <font>
      <b/>
      <sz val="9"/>
      <color rgb="FFFFFFFF"/>
      <name val="Arial"/>
      <family val="2"/>
    </font>
    <font>
      <sz val="9"/>
      <color rgb="FF1A1A1A"/>
      <name val="Arial"/>
      <family val="2"/>
    </font>
    <font>
      <b/>
      <sz val="11"/>
      <color rgb="FFFFFFFF"/>
      <name val="Arial"/>
      <family val="2"/>
    </font>
    <font>
      <sz val="9"/>
      <color rgb="FF5A6B7B"/>
      <name val="Arial"/>
      <family val="2"/>
    </font>
    <font>
      <b/>
      <sz val="10"/>
      <color rgb="FF0F8B8D"/>
      <name val="Arial"/>
      <family val="2"/>
    </font>
    <font>
      <b/>
      <sz val="9"/>
      <color rgb="FF5A6B7B"/>
      <name val="Arial"/>
      <family val="2"/>
    </font>
    <font>
      <b/>
      <sz val="11"/>
      <color rgb="FF0F8B8D"/>
      <name val="Arial"/>
      <family val="2"/>
    </font>
    <font>
      <i/>
      <sz val="8"/>
      <color rgb="FF5A6B7B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A2540"/>
        <bgColor rgb="FF1A1A1A"/>
      </patternFill>
    </fill>
    <fill>
      <patternFill patternType="solid">
        <fgColor rgb="FFFFF8E1"/>
        <bgColor rgb="FFFCEFCB"/>
      </patternFill>
    </fill>
    <fill>
      <patternFill patternType="solid">
        <fgColor rgb="FF0F8B8D"/>
        <bgColor rgb="FF008080"/>
      </patternFill>
    </fill>
    <fill>
      <patternFill patternType="solid">
        <fgColor rgb="FFDCE1E6"/>
        <bgColor rgb="FFD6ECD2"/>
      </patternFill>
    </fill>
    <fill>
      <patternFill patternType="solid">
        <fgColor rgb="FFEAF2F2"/>
        <bgColor rgb="FFFFF8E1"/>
      </patternFill>
    </fill>
    <fill>
      <patternFill patternType="solid">
        <fgColor rgb="FFD6ECD2"/>
        <bgColor rgb="FFDCE1E6"/>
      </patternFill>
    </fill>
    <fill>
      <patternFill patternType="solid">
        <fgColor rgb="FFFCEFCB"/>
        <bgColor rgb="FFFFF8E1"/>
      </patternFill>
    </fill>
    <fill>
      <patternFill patternType="solid">
        <fgColor rgb="FFF7D7D7"/>
        <bgColor rgb="FFDCE1E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A227"/>
      </bottom>
      <diagonal/>
    </border>
    <border>
      <left style="thin">
        <color rgb="FFC9CDD2"/>
      </left>
      <right style="thin">
        <color rgb="FFC9CDD2"/>
      </right>
      <top style="thin">
        <color rgb="FFC9CDD2"/>
      </top>
      <bottom style="thin">
        <color rgb="FFC9CDD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1" fillId="9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1" xfId="0" applyFill="1" applyBorder="1"/>
    <xf numFmtId="0" fontId="3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right" vertical="center"/>
    </xf>
    <xf numFmtId="9" fontId="16" fillId="6" borderId="2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9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ill>
        <patternFill>
          <bgColor rgb="FFF7D7D7"/>
        </patternFill>
      </fill>
    </dxf>
    <dxf>
      <fill>
        <patternFill>
          <bgColor rgb="FFFCEFCB"/>
        </patternFill>
      </fill>
    </dxf>
    <dxf>
      <fill>
        <patternFill>
          <bgColor rgb="FFD6ECD2"/>
        </patternFill>
      </fill>
    </dxf>
    <dxf>
      <fill>
        <patternFill>
          <bgColor rgb="FFF7D7D7"/>
        </patternFill>
      </fill>
    </dxf>
    <dxf>
      <fill>
        <patternFill>
          <bgColor rgb="FFFCEFCB"/>
        </patternFill>
      </fill>
    </dxf>
    <dxf>
      <fill>
        <patternFill>
          <bgColor rgb="FFEAF2F2"/>
        </patternFill>
      </fill>
    </dxf>
    <dxf>
      <fill>
        <patternFill>
          <bgColor rgb="FFD6ECD2"/>
        </patternFill>
      </fill>
    </dxf>
    <dxf>
      <fill>
        <patternFill>
          <bgColor rgb="FFF7D7D7"/>
        </patternFill>
      </fill>
    </dxf>
    <dxf>
      <fill>
        <patternFill>
          <bgColor rgb="FFFCEFCB"/>
        </patternFill>
      </fill>
    </dxf>
    <dxf>
      <fill>
        <patternFill>
          <bgColor rgb="FFEAF2F2"/>
        </patternFill>
      </fill>
    </dxf>
    <dxf>
      <fill>
        <patternFill>
          <bgColor rgb="FFD6EC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B8D"/>
      <rgbColor rgb="FFC9CDD2"/>
      <rgbColor rgb="FF808080"/>
      <rgbColor rgb="FF9999FF"/>
      <rgbColor rgb="FF993366"/>
      <rgbColor rgb="FFFFF8E1"/>
      <rgbColor rgb="FFEAF2F2"/>
      <rgbColor rgb="FF660066"/>
      <rgbColor rgb="FFFF8080"/>
      <rgbColor rgb="FF0066CC"/>
      <rgbColor rgb="FFDCE1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CD2"/>
      <rgbColor rgb="FFFCEFCB"/>
      <rgbColor rgb="FF99CCFF"/>
      <rgbColor rgb="FFFF99CC"/>
      <rgbColor rgb="FFCC99FF"/>
      <rgbColor rgb="FFF7D7D7"/>
      <rgbColor rgb="FF3366FF"/>
      <rgbColor rgb="FF33CCCC"/>
      <rgbColor rgb="FF99CC00"/>
      <rgbColor rgb="FFFFCC00"/>
      <rgbColor rgb="FFC9A227"/>
      <rgbColor rgb="FFFF6600"/>
      <rgbColor rgb="FF5A6B7B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866280</xdr:colOff>
      <xdr:row>1</xdr:row>
      <xdr:rowOff>209160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6400" y="0"/>
          <a:ext cx="83772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104"/>
  <sheetViews>
    <sheetView showGridLines="0" tabSelected="1" zoomScaleNormal="100" workbookViewId="0">
      <selection activeCell="L13" sqref="L13"/>
    </sheetView>
  </sheetViews>
  <sheetFormatPr baseColWidth="10" defaultColWidth="8.6640625" defaultRowHeight="15" x14ac:dyDescent="0.2"/>
  <cols>
    <col min="1" max="1" width="2.5" customWidth="1"/>
    <col min="2" max="2" width="27" customWidth="1"/>
    <col min="3" max="3" width="56" customWidth="1"/>
    <col min="4" max="4" width="17" customWidth="1"/>
    <col min="5" max="5" width="8" customWidth="1"/>
    <col min="6" max="6" width="40" customWidth="1"/>
    <col min="7" max="8" width="6" hidden="1" customWidth="1"/>
  </cols>
  <sheetData>
    <row r="1" spans="2:6" ht="30" customHeight="1" x14ac:dyDescent="0.2"/>
    <row r="2" spans="2:6" ht="30" customHeight="1" x14ac:dyDescent="0.2"/>
    <row r="3" spans="2:6" ht="80" customHeight="1" x14ac:dyDescent="0.2">
      <c r="B3" s="14"/>
      <c r="C3" s="13" t="s">
        <v>0</v>
      </c>
      <c r="D3" s="13"/>
      <c r="E3" s="13"/>
      <c r="F3" s="13"/>
    </row>
    <row r="4" spans="2:6" x14ac:dyDescent="0.2">
      <c r="C4" s="12" t="s">
        <v>1</v>
      </c>
      <c r="D4" s="12"/>
      <c r="E4" s="12"/>
      <c r="F4" s="12"/>
    </row>
    <row r="6" spans="2:6" x14ac:dyDescent="0.2">
      <c r="B6" s="15" t="s">
        <v>2</v>
      </c>
      <c r="C6" s="16"/>
      <c r="D6" s="15" t="s">
        <v>3</v>
      </c>
      <c r="E6" s="16"/>
      <c r="F6" s="16"/>
    </row>
    <row r="7" spans="2:6" x14ac:dyDescent="0.2">
      <c r="B7" s="15" t="s">
        <v>4</v>
      </c>
      <c r="C7" s="16"/>
      <c r="D7" s="15" t="s">
        <v>5</v>
      </c>
      <c r="E7" s="16"/>
      <c r="F7" s="16"/>
    </row>
    <row r="9" spans="2:6" ht="21.75" customHeight="1" x14ac:dyDescent="0.2">
      <c r="B9" s="11" t="s">
        <v>6</v>
      </c>
      <c r="C9" s="11"/>
      <c r="D9" s="11"/>
      <c r="E9" s="11"/>
      <c r="F9" s="11"/>
    </row>
    <row r="10" spans="2:6" ht="30" customHeight="1" x14ac:dyDescent="0.2">
      <c r="B10" s="10" t="s">
        <v>7</v>
      </c>
      <c r="C10" s="9" t="str">
        <f>IFERROR(SUM(E25:E29,E33:E38,E42:E47,E51:E56,E60:E64,E68:E72,E76:E80,E84:E88,E92:E96)/(2*COUNT(E25:E29,E33:E38,E42:E47,E51:E56,E60:E64,E68:E72,E76:E80,E84:E88,E92:E96)),"")</f>
        <v/>
      </c>
      <c r="D10" s="8" t="s">
        <v>8</v>
      </c>
      <c r="E10" s="8"/>
      <c r="F10" s="8"/>
    </row>
    <row r="11" spans="2:6" ht="25.5" customHeight="1" x14ac:dyDescent="0.2">
      <c r="B11" s="10"/>
      <c r="C11" s="10"/>
      <c r="D11" s="37" t="str">
        <f>IF(C10="","Complete el checklist para ver el diagnóstico",IF(C10&gt;=0.9,"ÓPTIMO — Limpieza bajo control",IF(C10&gt;=0.75,"ACEPTABLE — Corregir desvíos menores",IF(C10&gt;=0.6,"RIESGO MEDIO — Acción correctiva requerida","RIESGO ALTO — Re-limpiar antes de operar"))))</f>
        <v>Complete el checklist para ver el diagnóstico</v>
      </c>
      <c r="E11" s="37"/>
      <c r="F11" s="37"/>
    </row>
    <row r="13" spans="2:6" x14ac:dyDescent="0.2">
      <c r="B13" s="7" t="s">
        <v>9</v>
      </c>
      <c r="C13" s="7"/>
      <c r="D13" s="7"/>
      <c r="E13" s="7"/>
      <c r="F13" s="17" t="s">
        <v>10</v>
      </c>
    </row>
    <row r="14" spans="2:6" x14ac:dyDescent="0.2">
      <c r="B14" s="6" t="s">
        <v>11</v>
      </c>
      <c r="C14" s="6"/>
      <c r="D14" s="6"/>
      <c r="E14" s="6"/>
      <c r="F14" s="18" t="str">
        <f>IF(E30="","",E30)</f>
        <v/>
      </c>
    </row>
    <row r="15" spans="2:6" x14ac:dyDescent="0.2">
      <c r="B15" s="6" t="s">
        <v>12</v>
      </c>
      <c r="C15" s="6"/>
      <c r="D15" s="6"/>
      <c r="E15" s="6"/>
      <c r="F15" s="18" t="str">
        <f>IF(E39="","",E39)</f>
        <v/>
      </c>
    </row>
    <row r="16" spans="2:6" x14ac:dyDescent="0.2">
      <c r="B16" s="6" t="s">
        <v>13</v>
      </c>
      <c r="C16" s="6"/>
      <c r="D16" s="6"/>
      <c r="E16" s="6"/>
      <c r="F16" s="18" t="str">
        <f>IF(E48="","",E48)</f>
        <v/>
      </c>
    </row>
    <row r="17" spans="2:6" x14ac:dyDescent="0.2">
      <c r="B17" s="6" t="s">
        <v>14</v>
      </c>
      <c r="C17" s="6"/>
      <c r="D17" s="6"/>
      <c r="E17" s="6"/>
      <c r="F17" s="18" t="str">
        <f>IF(E57="","",E57)</f>
        <v/>
      </c>
    </row>
    <row r="18" spans="2:6" x14ac:dyDescent="0.2">
      <c r="B18" s="6" t="s">
        <v>15</v>
      </c>
      <c r="C18" s="6"/>
      <c r="D18" s="6"/>
      <c r="E18" s="6"/>
      <c r="F18" s="18" t="str">
        <f>IF(E65="","",E65)</f>
        <v/>
      </c>
    </row>
    <row r="19" spans="2:6" x14ac:dyDescent="0.2">
      <c r="B19" s="6" t="s">
        <v>16</v>
      </c>
      <c r="C19" s="6"/>
      <c r="D19" s="6"/>
      <c r="E19" s="6"/>
      <c r="F19" s="18" t="str">
        <f>IF(E73="","",E73)</f>
        <v/>
      </c>
    </row>
    <row r="20" spans="2:6" x14ac:dyDescent="0.2">
      <c r="B20" s="6" t="s">
        <v>17</v>
      </c>
      <c r="C20" s="6"/>
      <c r="D20" s="6"/>
      <c r="E20" s="6"/>
      <c r="F20" s="18" t="str">
        <f>IF(E81="","",E81)</f>
        <v/>
      </c>
    </row>
    <row r="21" spans="2:6" x14ac:dyDescent="0.2">
      <c r="B21" s="6" t="s">
        <v>18</v>
      </c>
      <c r="C21" s="6"/>
      <c r="D21" s="6"/>
      <c r="E21" s="6"/>
      <c r="F21" s="18" t="str">
        <f>IF(E89="","",E89)</f>
        <v/>
      </c>
    </row>
    <row r="22" spans="2:6" x14ac:dyDescent="0.2">
      <c r="B22" s="6" t="s">
        <v>19</v>
      </c>
      <c r="C22" s="6"/>
      <c r="D22" s="6"/>
      <c r="E22" s="6"/>
      <c r="F22" s="18" t="str">
        <f>IF(E97="","",E97)</f>
        <v/>
      </c>
    </row>
    <row r="24" spans="2:6" ht="19.5" customHeight="1" x14ac:dyDescent="0.2">
      <c r="B24" s="5" t="s">
        <v>11</v>
      </c>
      <c r="C24" s="5"/>
      <c r="D24" s="19" t="s">
        <v>8</v>
      </c>
      <c r="E24" s="19" t="s">
        <v>20</v>
      </c>
      <c r="F24" s="20" t="s">
        <v>21</v>
      </c>
    </row>
    <row r="25" spans="2:6" x14ac:dyDescent="0.2">
      <c r="B25" s="21">
        <v>1</v>
      </c>
      <c r="C25" s="22" t="s">
        <v>22</v>
      </c>
      <c r="D25" s="23"/>
      <c r="E25" s="24" t="str">
        <f>IF($D25="","",IF($D25="Cumple",2,IF($D25="Parcial",1,0)))</f>
        <v/>
      </c>
      <c r="F25" s="25"/>
    </row>
    <row r="26" spans="2:6" x14ac:dyDescent="0.2">
      <c r="B26" s="21">
        <v>2</v>
      </c>
      <c r="C26" s="22" t="s">
        <v>23</v>
      </c>
      <c r="D26" s="23"/>
      <c r="E26" s="24" t="str">
        <f>IF($D26="","",IF($D26="Cumple",2,IF($D26="Parcial",1,0)))</f>
        <v/>
      </c>
      <c r="F26" s="25"/>
    </row>
    <row r="27" spans="2:6" x14ac:dyDescent="0.2">
      <c r="B27" s="21">
        <v>3</v>
      </c>
      <c r="C27" s="22" t="s">
        <v>24</v>
      </c>
      <c r="D27" s="23"/>
      <c r="E27" s="24" t="str">
        <f>IF($D27="","",IF($D27="Cumple",2,IF($D27="Parcial",1,0)))</f>
        <v/>
      </c>
      <c r="F27" s="25"/>
    </row>
    <row r="28" spans="2:6" x14ac:dyDescent="0.2">
      <c r="B28" s="21">
        <v>4</v>
      </c>
      <c r="C28" s="22" t="s">
        <v>25</v>
      </c>
      <c r="D28" s="23"/>
      <c r="E28" s="24" t="str">
        <f>IF($D28="","",IF($D28="Cumple",2,IF($D28="Parcial",1,0)))</f>
        <v/>
      </c>
      <c r="F28" s="25"/>
    </row>
    <row r="29" spans="2:6" x14ac:dyDescent="0.2">
      <c r="B29" s="21">
        <v>5</v>
      </c>
      <c r="C29" s="22" t="s">
        <v>26</v>
      </c>
      <c r="D29" s="23"/>
      <c r="E29" s="24" t="str">
        <f>IF($D29="","",IF($D29="Cumple",2,IF($D29="Parcial",1,0)))</f>
        <v/>
      </c>
      <c r="F29" s="25"/>
    </row>
    <row r="30" spans="2:6" x14ac:dyDescent="0.2">
      <c r="B30" s="26"/>
      <c r="C30" s="27" t="s">
        <v>27</v>
      </c>
      <c r="D30" s="28" t="s">
        <v>28</v>
      </c>
      <c r="E30" s="29" t="str">
        <f>IFERROR(SUM(E25:E29)/(2*COUNT(E25:E29)),"")</f>
        <v/>
      </c>
      <c r="F30" s="30"/>
    </row>
    <row r="32" spans="2:6" ht="19.5" customHeight="1" x14ac:dyDescent="0.2">
      <c r="B32" s="5" t="s">
        <v>12</v>
      </c>
      <c r="C32" s="5"/>
      <c r="D32" s="19" t="s">
        <v>8</v>
      </c>
      <c r="E32" s="19" t="s">
        <v>20</v>
      </c>
      <c r="F32" s="20" t="s">
        <v>21</v>
      </c>
    </row>
    <row r="33" spans="2:6" x14ac:dyDescent="0.2">
      <c r="B33" s="21">
        <v>1</v>
      </c>
      <c r="C33" s="22" t="s">
        <v>29</v>
      </c>
      <c r="D33" s="23"/>
      <c r="E33" s="24" t="str">
        <f t="shared" ref="E33:E38" si="0">IF($D33="","",IF($D33="Cumple",2,IF($D33="Parcial",1,0)))</f>
        <v/>
      </c>
      <c r="F33" s="25"/>
    </row>
    <row r="34" spans="2:6" x14ac:dyDescent="0.2">
      <c r="B34" s="21">
        <v>2</v>
      </c>
      <c r="C34" s="22" t="s">
        <v>30</v>
      </c>
      <c r="D34" s="23"/>
      <c r="E34" s="24" t="str">
        <f t="shared" si="0"/>
        <v/>
      </c>
      <c r="F34" s="25"/>
    </row>
    <row r="35" spans="2:6" x14ac:dyDescent="0.2">
      <c r="B35" s="21">
        <v>3</v>
      </c>
      <c r="C35" s="22" t="s">
        <v>31</v>
      </c>
      <c r="D35" s="23"/>
      <c r="E35" s="24" t="str">
        <f t="shared" si="0"/>
        <v/>
      </c>
      <c r="F35" s="25"/>
    </row>
    <row r="36" spans="2:6" x14ac:dyDescent="0.2">
      <c r="B36" s="21">
        <v>4</v>
      </c>
      <c r="C36" s="22" t="s">
        <v>32</v>
      </c>
      <c r="D36" s="23"/>
      <c r="E36" s="24" t="str">
        <f t="shared" si="0"/>
        <v/>
      </c>
      <c r="F36" s="25"/>
    </row>
    <row r="37" spans="2:6" x14ac:dyDescent="0.2">
      <c r="B37" s="21">
        <v>5</v>
      </c>
      <c r="C37" s="22" t="s">
        <v>33</v>
      </c>
      <c r="D37" s="23"/>
      <c r="E37" s="24" t="str">
        <f t="shared" si="0"/>
        <v/>
      </c>
      <c r="F37" s="25"/>
    </row>
    <row r="38" spans="2:6" x14ac:dyDescent="0.2">
      <c r="B38" s="21">
        <v>6</v>
      </c>
      <c r="C38" s="22" t="s">
        <v>34</v>
      </c>
      <c r="D38" s="23"/>
      <c r="E38" s="24" t="str">
        <f t="shared" si="0"/>
        <v/>
      </c>
      <c r="F38" s="25"/>
    </row>
    <row r="39" spans="2:6" x14ac:dyDescent="0.2">
      <c r="B39" s="26"/>
      <c r="C39" s="27" t="s">
        <v>35</v>
      </c>
      <c r="D39" s="28" t="s">
        <v>28</v>
      </c>
      <c r="E39" s="29" t="str">
        <f>IFERROR(SUM(E33:E38)/(2*COUNT(E33:E38)),"")</f>
        <v/>
      </c>
      <c r="F39" s="30"/>
    </row>
    <row r="41" spans="2:6" ht="19.5" customHeight="1" x14ac:dyDescent="0.2">
      <c r="B41" s="5" t="s">
        <v>13</v>
      </c>
      <c r="C41" s="5"/>
      <c r="D41" s="19" t="s">
        <v>8</v>
      </c>
      <c r="E41" s="19" t="s">
        <v>20</v>
      </c>
      <c r="F41" s="20" t="s">
        <v>21</v>
      </c>
    </row>
    <row r="42" spans="2:6" x14ac:dyDescent="0.2">
      <c r="B42" s="21">
        <v>1</v>
      </c>
      <c r="C42" s="22" t="s">
        <v>36</v>
      </c>
      <c r="D42" s="23"/>
      <c r="E42" s="24" t="str">
        <f t="shared" ref="E42:E47" si="1">IF($D42="","",IF($D42="Cumple",2,IF($D42="Parcial",1,0)))</f>
        <v/>
      </c>
      <c r="F42" s="25"/>
    </row>
    <row r="43" spans="2:6" x14ac:dyDescent="0.2">
      <c r="B43" s="21">
        <v>2</v>
      </c>
      <c r="C43" s="22" t="s">
        <v>37</v>
      </c>
      <c r="D43" s="23"/>
      <c r="E43" s="24" t="str">
        <f t="shared" si="1"/>
        <v/>
      </c>
      <c r="F43" s="25"/>
    </row>
    <row r="44" spans="2:6" x14ac:dyDescent="0.2">
      <c r="B44" s="21">
        <v>3</v>
      </c>
      <c r="C44" s="22" t="s">
        <v>38</v>
      </c>
      <c r="D44" s="23"/>
      <c r="E44" s="24" t="str">
        <f t="shared" si="1"/>
        <v/>
      </c>
      <c r="F44" s="25"/>
    </row>
    <row r="45" spans="2:6" x14ac:dyDescent="0.2">
      <c r="B45" s="21">
        <v>4</v>
      </c>
      <c r="C45" s="22" t="s">
        <v>39</v>
      </c>
      <c r="D45" s="23"/>
      <c r="E45" s="24" t="str">
        <f t="shared" si="1"/>
        <v/>
      </c>
      <c r="F45" s="25"/>
    </row>
    <row r="46" spans="2:6" x14ac:dyDescent="0.2">
      <c r="B46" s="21">
        <v>5</v>
      </c>
      <c r="C46" s="22" t="s">
        <v>40</v>
      </c>
      <c r="D46" s="23"/>
      <c r="E46" s="24" t="str">
        <f t="shared" si="1"/>
        <v/>
      </c>
      <c r="F46" s="25"/>
    </row>
    <row r="47" spans="2:6" x14ac:dyDescent="0.2">
      <c r="B47" s="21">
        <v>6</v>
      </c>
      <c r="C47" s="22" t="s">
        <v>41</v>
      </c>
      <c r="D47" s="23"/>
      <c r="E47" s="24" t="str">
        <f t="shared" si="1"/>
        <v/>
      </c>
      <c r="F47" s="25"/>
    </row>
    <row r="48" spans="2:6" x14ac:dyDescent="0.2">
      <c r="B48" s="26"/>
      <c r="C48" s="27" t="s">
        <v>42</v>
      </c>
      <c r="D48" s="28" t="s">
        <v>28</v>
      </c>
      <c r="E48" s="29" t="str">
        <f>IFERROR(SUM(E42:E47)/(2*COUNT(E42:E47)),"")</f>
        <v/>
      </c>
      <c r="F48" s="30"/>
    </row>
    <row r="50" spans="2:6" ht="19.5" customHeight="1" x14ac:dyDescent="0.2">
      <c r="B50" s="5" t="s">
        <v>14</v>
      </c>
      <c r="C50" s="5"/>
      <c r="D50" s="19" t="s">
        <v>8</v>
      </c>
      <c r="E50" s="19" t="s">
        <v>20</v>
      </c>
      <c r="F50" s="20" t="s">
        <v>21</v>
      </c>
    </row>
    <row r="51" spans="2:6" x14ac:dyDescent="0.2">
      <c r="B51" s="21">
        <v>1</v>
      </c>
      <c r="C51" s="22" t="s">
        <v>43</v>
      </c>
      <c r="D51" s="23"/>
      <c r="E51" s="24" t="str">
        <f t="shared" ref="E51:E56" si="2">IF($D51="","",IF($D51="Cumple",2,IF($D51="Parcial",1,0)))</f>
        <v/>
      </c>
      <c r="F51" s="25"/>
    </row>
    <row r="52" spans="2:6" x14ac:dyDescent="0.2">
      <c r="B52" s="21">
        <v>2</v>
      </c>
      <c r="C52" s="22" t="s">
        <v>44</v>
      </c>
      <c r="D52" s="23"/>
      <c r="E52" s="24" t="str">
        <f t="shared" si="2"/>
        <v/>
      </c>
      <c r="F52" s="25"/>
    </row>
    <row r="53" spans="2:6" x14ac:dyDescent="0.2">
      <c r="B53" s="21">
        <v>3</v>
      </c>
      <c r="C53" s="22" t="s">
        <v>45</v>
      </c>
      <c r="D53" s="23"/>
      <c r="E53" s="24" t="str">
        <f t="shared" si="2"/>
        <v/>
      </c>
      <c r="F53" s="25"/>
    </row>
    <row r="54" spans="2:6" x14ac:dyDescent="0.2">
      <c r="B54" s="21">
        <v>4</v>
      </c>
      <c r="C54" s="22" t="s">
        <v>46</v>
      </c>
      <c r="D54" s="23"/>
      <c r="E54" s="24" t="str">
        <f t="shared" si="2"/>
        <v/>
      </c>
      <c r="F54" s="25"/>
    </row>
    <row r="55" spans="2:6" x14ac:dyDescent="0.2">
      <c r="B55" s="21">
        <v>5</v>
      </c>
      <c r="C55" s="22" t="s">
        <v>47</v>
      </c>
      <c r="D55" s="23"/>
      <c r="E55" s="24" t="str">
        <f t="shared" si="2"/>
        <v/>
      </c>
      <c r="F55" s="25"/>
    </row>
    <row r="56" spans="2:6" x14ac:dyDescent="0.2">
      <c r="B56" s="21">
        <v>6</v>
      </c>
      <c r="C56" s="22" t="s">
        <v>48</v>
      </c>
      <c r="D56" s="23"/>
      <c r="E56" s="24" t="str">
        <f t="shared" si="2"/>
        <v/>
      </c>
      <c r="F56" s="25"/>
    </row>
    <row r="57" spans="2:6" x14ac:dyDescent="0.2">
      <c r="B57" s="26"/>
      <c r="C57" s="27" t="s">
        <v>49</v>
      </c>
      <c r="D57" s="28" t="s">
        <v>28</v>
      </c>
      <c r="E57" s="29" t="str">
        <f>IFERROR(SUM(E51:E56)/(2*COUNT(E51:E56)),"")</f>
        <v/>
      </c>
      <c r="F57" s="30"/>
    </row>
    <row r="59" spans="2:6" ht="19.5" customHeight="1" x14ac:dyDescent="0.2">
      <c r="B59" s="5" t="s">
        <v>15</v>
      </c>
      <c r="C59" s="5"/>
      <c r="D59" s="19" t="s">
        <v>8</v>
      </c>
      <c r="E59" s="19" t="s">
        <v>20</v>
      </c>
      <c r="F59" s="20" t="s">
        <v>21</v>
      </c>
    </row>
    <row r="60" spans="2:6" x14ac:dyDescent="0.2">
      <c r="B60" s="21">
        <v>1</v>
      </c>
      <c r="C60" s="22" t="s">
        <v>50</v>
      </c>
      <c r="D60" s="23"/>
      <c r="E60" s="24" t="str">
        <f>IF($D60="","",IF($D60="Cumple",2,IF($D60="Parcial",1,0)))</f>
        <v/>
      </c>
      <c r="F60" s="25"/>
    </row>
    <row r="61" spans="2:6" x14ac:dyDescent="0.2">
      <c r="B61" s="21">
        <v>2</v>
      </c>
      <c r="C61" s="22" t="s">
        <v>51</v>
      </c>
      <c r="D61" s="23"/>
      <c r="E61" s="24" t="str">
        <f>IF($D61="","",IF($D61="Cumple",2,IF($D61="Parcial",1,0)))</f>
        <v/>
      </c>
      <c r="F61" s="25"/>
    </row>
    <row r="62" spans="2:6" x14ac:dyDescent="0.2">
      <c r="B62" s="21">
        <v>3</v>
      </c>
      <c r="C62" s="22" t="s">
        <v>52</v>
      </c>
      <c r="D62" s="23"/>
      <c r="E62" s="24" t="str">
        <f>IF($D62="","",IF($D62="Cumple",2,IF($D62="Parcial",1,0)))</f>
        <v/>
      </c>
      <c r="F62" s="25"/>
    </row>
    <row r="63" spans="2:6" x14ac:dyDescent="0.2">
      <c r="B63" s="21">
        <v>4</v>
      </c>
      <c r="C63" s="22" t="s">
        <v>53</v>
      </c>
      <c r="D63" s="23"/>
      <c r="E63" s="24" t="str">
        <f>IF($D63="","",IF($D63="Cumple",2,IF($D63="Parcial",1,0)))</f>
        <v/>
      </c>
      <c r="F63" s="25"/>
    </row>
    <row r="64" spans="2:6" x14ac:dyDescent="0.2">
      <c r="B64" s="21">
        <v>5</v>
      </c>
      <c r="C64" s="22" t="s">
        <v>54</v>
      </c>
      <c r="D64" s="23"/>
      <c r="E64" s="24" t="str">
        <f>IF($D64="","",IF($D64="Cumple",2,IF($D64="Parcial",1,0)))</f>
        <v/>
      </c>
      <c r="F64" s="25"/>
    </row>
    <row r="65" spans="2:6" x14ac:dyDescent="0.2">
      <c r="B65" s="26"/>
      <c r="C65" s="27" t="s">
        <v>55</v>
      </c>
      <c r="D65" s="28" t="s">
        <v>28</v>
      </c>
      <c r="E65" s="29" t="str">
        <f>IFERROR(SUM(E60:E64)/(2*COUNT(E60:E64)),"")</f>
        <v/>
      </c>
      <c r="F65" s="30"/>
    </row>
    <row r="67" spans="2:6" ht="19.5" customHeight="1" x14ac:dyDescent="0.2">
      <c r="B67" s="5" t="s">
        <v>16</v>
      </c>
      <c r="C67" s="5"/>
      <c r="D67" s="19" t="s">
        <v>8</v>
      </c>
      <c r="E67" s="19" t="s">
        <v>20</v>
      </c>
      <c r="F67" s="20" t="s">
        <v>21</v>
      </c>
    </row>
    <row r="68" spans="2:6" x14ac:dyDescent="0.2">
      <c r="B68" s="21">
        <v>1</v>
      </c>
      <c r="C68" s="22" t="s">
        <v>56</v>
      </c>
      <c r="D68" s="23"/>
      <c r="E68" s="24" t="str">
        <f>IF($D68="","",IF($D68="Cumple",2,IF($D68="Parcial",1,0)))</f>
        <v/>
      </c>
      <c r="F68" s="25"/>
    </row>
    <row r="69" spans="2:6" x14ac:dyDescent="0.2">
      <c r="B69" s="21">
        <v>2</v>
      </c>
      <c r="C69" s="22" t="s">
        <v>57</v>
      </c>
      <c r="D69" s="23"/>
      <c r="E69" s="24" t="str">
        <f>IF($D69="","",IF($D69="Cumple",2,IF($D69="Parcial",1,0)))</f>
        <v/>
      </c>
      <c r="F69" s="25"/>
    </row>
    <row r="70" spans="2:6" x14ac:dyDescent="0.2">
      <c r="B70" s="21">
        <v>3</v>
      </c>
      <c r="C70" s="22" t="s">
        <v>58</v>
      </c>
      <c r="D70" s="23"/>
      <c r="E70" s="24" t="str">
        <f>IF($D70="","",IF($D70="Cumple",2,IF($D70="Parcial",1,0)))</f>
        <v/>
      </c>
      <c r="F70" s="25"/>
    </row>
    <row r="71" spans="2:6" x14ac:dyDescent="0.2">
      <c r="B71" s="21">
        <v>4</v>
      </c>
      <c r="C71" s="22" t="s">
        <v>59</v>
      </c>
      <c r="D71" s="23"/>
      <c r="E71" s="24" t="str">
        <f>IF($D71="","",IF($D71="Cumple",2,IF($D71="Parcial",1,0)))</f>
        <v/>
      </c>
      <c r="F71" s="25"/>
    </row>
    <row r="72" spans="2:6" x14ac:dyDescent="0.2">
      <c r="B72" s="21">
        <v>5</v>
      </c>
      <c r="C72" s="22" t="s">
        <v>60</v>
      </c>
      <c r="D72" s="23"/>
      <c r="E72" s="24" t="str">
        <f>IF($D72="","",IF($D72="Cumple",2,IF($D72="Parcial",1,0)))</f>
        <v/>
      </c>
      <c r="F72" s="25"/>
    </row>
    <row r="73" spans="2:6" x14ac:dyDescent="0.2">
      <c r="B73" s="26"/>
      <c r="C73" s="27" t="s">
        <v>61</v>
      </c>
      <c r="D73" s="28" t="s">
        <v>28</v>
      </c>
      <c r="E73" s="29" t="str">
        <f>IFERROR(SUM(E68:E72)/(2*COUNT(E68:E72)),"")</f>
        <v/>
      </c>
      <c r="F73" s="30"/>
    </row>
    <row r="75" spans="2:6" ht="19.5" customHeight="1" x14ac:dyDescent="0.2">
      <c r="B75" s="5" t="s">
        <v>17</v>
      </c>
      <c r="C75" s="5"/>
      <c r="D75" s="19" t="s">
        <v>8</v>
      </c>
      <c r="E75" s="19" t="s">
        <v>20</v>
      </c>
      <c r="F75" s="20" t="s">
        <v>21</v>
      </c>
    </row>
    <row r="76" spans="2:6" x14ac:dyDescent="0.2">
      <c r="B76" s="21">
        <v>1</v>
      </c>
      <c r="C76" s="22" t="s">
        <v>62</v>
      </c>
      <c r="D76" s="23"/>
      <c r="E76" s="24" t="str">
        <f>IF($D76="","",IF($D76="Cumple",2,IF($D76="Parcial",1,0)))</f>
        <v/>
      </c>
      <c r="F76" s="25"/>
    </row>
    <row r="77" spans="2:6" x14ac:dyDescent="0.2">
      <c r="B77" s="21">
        <v>2</v>
      </c>
      <c r="C77" s="22" t="s">
        <v>63</v>
      </c>
      <c r="D77" s="23"/>
      <c r="E77" s="24" t="str">
        <f>IF($D77="","",IF($D77="Cumple",2,IF($D77="Parcial",1,0)))</f>
        <v/>
      </c>
      <c r="F77" s="25"/>
    </row>
    <row r="78" spans="2:6" x14ac:dyDescent="0.2">
      <c r="B78" s="21">
        <v>3</v>
      </c>
      <c r="C78" s="22" t="s">
        <v>64</v>
      </c>
      <c r="D78" s="23"/>
      <c r="E78" s="24" t="str">
        <f>IF($D78="","",IF($D78="Cumple",2,IF($D78="Parcial",1,0)))</f>
        <v/>
      </c>
      <c r="F78" s="25"/>
    </row>
    <row r="79" spans="2:6" x14ac:dyDescent="0.2">
      <c r="B79" s="21">
        <v>4</v>
      </c>
      <c r="C79" s="22" t="s">
        <v>65</v>
      </c>
      <c r="D79" s="23"/>
      <c r="E79" s="24" t="str">
        <f>IF($D79="","",IF($D79="Cumple",2,IF($D79="Parcial",1,0)))</f>
        <v/>
      </c>
      <c r="F79" s="25"/>
    </row>
    <row r="80" spans="2:6" x14ac:dyDescent="0.2">
      <c r="B80" s="21">
        <v>5</v>
      </c>
      <c r="C80" s="22" t="s">
        <v>66</v>
      </c>
      <c r="D80" s="23"/>
      <c r="E80" s="24" t="str">
        <f>IF($D80="","",IF($D80="Cumple",2,IF($D80="Parcial",1,0)))</f>
        <v/>
      </c>
      <c r="F80" s="25"/>
    </row>
    <row r="81" spans="2:6" x14ac:dyDescent="0.2">
      <c r="B81" s="26"/>
      <c r="C81" s="27" t="s">
        <v>67</v>
      </c>
      <c r="D81" s="28" t="s">
        <v>28</v>
      </c>
      <c r="E81" s="29" t="str">
        <f>IFERROR(SUM(E76:E80)/(2*COUNT(E76:E80)),"")</f>
        <v/>
      </c>
      <c r="F81" s="30"/>
    </row>
    <row r="83" spans="2:6" ht="19.5" customHeight="1" x14ac:dyDescent="0.2">
      <c r="B83" s="5" t="s">
        <v>18</v>
      </c>
      <c r="C83" s="5"/>
      <c r="D83" s="19" t="s">
        <v>8</v>
      </c>
      <c r="E83" s="19" t="s">
        <v>20</v>
      </c>
      <c r="F83" s="20" t="s">
        <v>21</v>
      </c>
    </row>
    <row r="84" spans="2:6" x14ac:dyDescent="0.2">
      <c r="B84" s="21">
        <v>1</v>
      </c>
      <c r="C84" s="22" t="s">
        <v>68</v>
      </c>
      <c r="D84" s="23"/>
      <c r="E84" s="24" t="str">
        <f>IF($D84="","",IF($D84="Cumple",2,IF($D84="Parcial",1,0)))</f>
        <v/>
      </c>
      <c r="F84" s="25"/>
    </row>
    <row r="85" spans="2:6" x14ac:dyDescent="0.2">
      <c r="B85" s="21">
        <v>2</v>
      </c>
      <c r="C85" s="22" t="s">
        <v>69</v>
      </c>
      <c r="D85" s="23"/>
      <c r="E85" s="24" t="str">
        <f>IF($D85="","",IF($D85="Cumple",2,IF($D85="Parcial",1,0)))</f>
        <v/>
      </c>
      <c r="F85" s="25"/>
    </row>
    <row r="86" spans="2:6" x14ac:dyDescent="0.2">
      <c r="B86" s="21">
        <v>3</v>
      </c>
      <c r="C86" s="22" t="s">
        <v>70</v>
      </c>
      <c r="D86" s="23"/>
      <c r="E86" s="24" t="str">
        <f>IF($D86="","",IF($D86="Cumple",2,IF($D86="Parcial",1,0)))</f>
        <v/>
      </c>
      <c r="F86" s="25"/>
    </row>
    <row r="87" spans="2:6" x14ac:dyDescent="0.2">
      <c r="B87" s="21">
        <v>4</v>
      </c>
      <c r="C87" s="22" t="s">
        <v>71</v>
      </c>
      <c r="D87" s="23"/>
      <c r="E87" s="24" t="str">
        <f>IF($D87="","",IF($D87="Cumple",2,IF($D87="Parcial",1,0)))</f>
        <v/>
      </c>
      <c r="F87" s="25"/>
    </row>
    <row r="88" spans="2:6" x14ac:dyDescent="0.2">
      <c r="B88" s="21">
        <v>5</v>
      </c>
      <c r="C88" s="22" t="s">
        <v>72</v>
      </c>
      <c r="D88" s="23"/>
      <c r="E88" s="24" t="str">
        <f>IF($D88="","",IF($D88="Cumple",2,IF($D88="Parcial",1,0)))</f>
        <v/>
      </c>
      <c r="F88" s="25"/>
    </row>
    <row r="89" spans="2:6" x14ac:dyDescent="0.2">
      <c r="B89" s="26"/>
      <c r="C89" s="27" t="s">
        <v>73</v>
      </c>
      <c r="D89" s="28" t="s">
        <v>28</v>
      </c>
      <c r="E89" s="29" t="str">
        <f>IFERROR(SUM(E84:E88)/(2*COUNT(E84:E88)),"")</f>
        <v/>
      </c>
      <c r="F89" s="30"/>
    </row>
    <row r="91" spans="2:6" ht="19.5" customHeight="1" x14ac:dyDescent="0.2">
      <c r="B91" s="5" t="s">
        <v>19</v>
      </c>
      <c r="C91" s="5"/>
      <c r="D91" s="19" t="s">
        <v>8</v>
      </c>
      <c r="E91" s="19" t="s">
        <v>20</v>
      </c>
      <c r="F91" s="20" t="s">
        <v>21</v>
      </c>
    </row>
    <row r="92" spans="2:6" x14ac:dyDescent="0.2">
      <c r="B92" s="21">
        <v>1</v>
      </c>
      <c r="C92" s="22" t="s">
        <v>74</v>
      </c>
      <c r="D92" s="23"/>
      <c r="E92" s="24" t="str">
        <f>IF($D92="","",IF($D92="Cumple",2,IF($D92="Parcial",1,0)))</f>
        <v/>
      </c>
      <c r="F92" s="25"/>
    </row>
    <row r="93" spans="2:6" x14ac:dyDescent="0.2">
      <c r="B93" s="21">
        <v>2</v>
      </c>
      <c r="C93" s="22" t="s">
        <v>75</v>
      </c>
      <c r="D93" s="23"/>
      <c r="E93" s="24" t="str">
        <f>IF($D93="","",IF($D93="Cumple",2,IF($D93="Parcial",1,0)))</f>
        <v/>
      </c>
      <c r="F93" s="25"/>
    </row>
    <row r="94" spans="2:6" x14ac:dyDescent="0.2">
      <c r="B94" s="21">
        <v>3</v>
      </c>
      <c r="C94" s="22" t="s">
        <v>76</v>
      </c>
      <c r="D94" s="23"/>
      <c r="E94" s="24" t="str">
        <f>IF($D94="","",IF($D94="Cumple",2,IF($D94="Parcial",1,0)))</f>
        <v/>
      </c>
      <c r="F94" s="25"/>
    </row>
    <row r="95" spans="2:6" x14ac:dyDescent="0.2">
      <c r="B95" s="21">
        <v>4</v>
      </c>
      <c r="C95" s="22" t="s">
        <v>77</v>
      </c>
      <c r="D95" s="23"/>
      <c r="E95" s="24" t="str">
        <f>IF($D95="","",IF($D95="Cumple",2,IF($D95="Parcial",1,0)))</f>
        <v/>
      </c>
      <c r="F95" s="25"/>
    </row>
    <row r="96" spans="2:6" x14ac:dyDescent="0.2">
      <c r="B96" s="21">
        <v>5</v>
      </c>
      <c r="C96" s="22" t="s">
        <v>78</v>
      </c>
      <c r="D96" s="23"/>
      <c r="E96" s="24" t="str">
        <f>IF($D96="","",IF($D96="Cumple",2,IF($D96="Parcial",1,0)))</f>
        <v/>
      </c>
      <c r="F96" s="25"/>
    </row>
    <row r="97" spans="2:6" x14ac:dyDescent="0.2">
      <c r="B97" s="26"/>
      <c r="C97" s="27" t="s">
        <v>79</v>
      </c>
      <c r="D97" s="28" t="s">
        <v>28</v>
      </c>
      <c r="E97" s="29" t="str">
        <f>IFERROR(SUM(E92:E96)/(2*COUNT(E92:E96)),"")</f>
        <v/>
      </c>
      <c r="F97" s="30"/>
    </row>
    <row r="99" spans="2:6" x14ac:dyDescent="0.2">
      <c r="B99" s="31" t="s">
        <v>80</v>
      </c>
    </row>
    <row r="100" spans="2:6" x14ac:dyDescent="0.2">
      <c r="B100" s="32" t="s">
        <v>81</v>
      </c>
      <c r="C100" s="4" t="s">
        <v>82</v>
      </c>
      <c r="D100" s="4"/>
      <c r="E100" s="4"/>
      <c r="F100" s="4"/>
    </row>
    <row r="101" spans="2:6" x14ac:dyDescent="0.2">
      <c r="B101" s="33" t="s">
        <v>83</v>
      </c>
      <c r="C101" s="3" t="s">
        <v>84</v>
      </c>
      <c r="D101" s="3"/>
      <c r="E101" s="3"/>
      <c r="F101" s="3"/>
    </row>
    <row r="102" spans="2:6" x14ac:dyDescent="0.2">
      <c r="B102" s="34" t="s">
        <v>85</v>
      </c>
      <c r="C102" s="2" t="s">
        <v>86</v>
      </c>
      <c r="D102" s="2"/>
      <c r="E102" s="2"/>
      <c r="F102" s="2"/>
    </row>
    <row r="103" spans="2:6" x14ac:dyDescent="0.2">
      <c r="B103" s="35" t="s">
        <v>87</v>
      </c>
      <c r="C103" s="1" t="s">
        <v>88</v>
      </c>
      <c r="D103" s="1"/>
      <c r="E103" s="1"/>
      <c r="F103" s="1"/>
    </row>
    <row r="104" spans="2:6" x14ac:dyDescent="0.2">
      <c r="B104" s="36" t="s">
        <v>89</v>
      </c>
      <c r="C104" s="36"/>
      <c r="D104" s="36"/>
      <c r="E104" s="36"/>
      <c r="F104" s="36"/>
    </row>
  </sheetData>
  <mergeCells count="31">
    <mergeCell ref="C101:F101"/>
    <mergeCell ref="C102:F102"/>
    <mergeCell ref="C103:F103"/>
    <mergeCell ref="B104:F104"/>
    <mergeCell ref="B67:C67"/>
    <mergeCell ref="B75:C75"/>
    <mergeCell ref="B83:C83"/>
    <mergeCell ref="B91:C91"/>
    <mergeCell ref="C100:F100"/>
    <mergeCell ref="B24:C24"/>
    <mergeCell ref="B32:C32"/>
    <mergeCell ref="B41:C41"/>
    <mergeCell ref="B50:C50"/>
    <mergeCell ref="B59:C59"/>
    <mergeCell ref="B18:E18"/>
    <mergeCell ref="B19:E19"/>
    <mergeCell ref="B20:E20"/>
    <mergeCell ref="B21:E21"/>
    <mergeCell ref="B22:E22"/>
    <mergeCell ref="B13:E13"/>
    <mergeCell ref="B14:E14"/>
    <mergeCell ref="B15:E15"/>
    <mergeCell ref="B16:E16"/>
    <mergeCell ref="B17:E17"/>
    <mergeCell ref="C3:F3"/>
    <mergeCell ref="C4:F4"/>
    <mergeCell ref="B9:F9"/>
    <mergeCell ref="B10:B11"/>
    <mergeCell ref="C10:C11"/>
    <mergeCell ref="D10:F10"/>
    <mergeCell ref="D11:F11"/>
  </mergeCells>
  <conditionalFormatting sqref="C10">
    <cfRule type="expression" dxfId="10" priority="2">
      <formula>AND(C10&lt;&gt;"",C10&gt;=0.9)</formula>
    </cfRule>
    <cfRule type="expression" dxfId="9" priority="3">
      <formula>AND(C10&lt;&gt;"",C10&gt;=0.75,C10&lt;0.9)</formula>
    </cfRule>
    <cfRule type="expression" dxfId="8" priority="4">
      <formula>AND(C10&lt;&gt;"",C10&gt;=0.6,C10&lt;0.75)</formula>
    </cfRule>
    <cfRule type="expression" dxfId="7" priority="5">
      <formula>AND(C10&lt;&gt;"",C10&lt;0.6)</formula>
    </cfRule>
  </conditionalFormatting>
  <conditionalFormatting sqref="D11">
    <cfRule type="expression" dxfId="6" priority="6">
      <formula>AND(C10&lt;&gt;"",C10&gt;=0.9)</formula>
    </cfRule>
    <cfRule type="expression" dxfId="5" priority="7">
      <formula>AND(C10&lt;&gt;"",C10&gt;=0.75,C10&lt;0.9)</formula>
    </cfRule>
    <cfRule type="expression" dxfId="4" priority="8">
      <formula>AND(C10&lt;&gt;"",C10&gt;=0.6,C10&lt;0.75)</formula>
    </cfRule>
    <cfRule type="expression" dxfId="3" priority="9">
      <formula>AND(C10&lt;&gt;"",C10&lt;0.6)</formula>
    </cfRule>
  </conditionalFormatting>
  <conditionalFormatting sqref="F14:F22">
    <cfRule type="expression" dxfId="2" priority="10">
      <formula>AND(F14&lt;&gt;"",F14&gt;=0.9)</formula>
    </cfRule>
    <cfRule type="expression" dxfId="1" priority="11">
      <formula>AND(F14&lt;&gt;"",F14&gt;=0.6,F14&lt;0.9)</formula>
    </cfRule>
    <cfRule type="expression" dxfId="0" priority="12">
      <formula>AND(F14&lt;&gt;"",F14&lt;0.6)</formula>
    </cfRule>
  </conditionalFormatting>
  <dataValidations count="1">
    <dataValidation type="list" allowBlank="1" sqref="D25:D29 D33:D38 D42:D47 D51:D56 D60:D64 D68:D72 D76:D80 D84:D88 D92:D96" xr:uid="{00000000-0002-0000-0000-000000000000}">
      <formula1>"Cumple,Parcial,No cumple"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Diagnóstico Limpieza</vt:lpstr>
      <vt:lpstr>'Diagnóstico Limpieza'!Área_de_impresión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Giménez</cp:lastModifiedBy>
  <cp:revision>0</cp:revision>
  <dcterms:created xsi:type="dcterms:W3CDTF">2026-07-06T22:39:18Z</dcterms:created>
  <dcterms:modified xsi:type="dcterms:W3CDTF">2026-07-06T23:05:41Z</dcterms:modified>
  <dc:language>en-US</dc:language>
</cp:coreProperties>
</file>