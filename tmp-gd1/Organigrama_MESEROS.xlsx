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15CB4931-DF80-0E40-B864-6E78D125C736}" xr6:coauthVersionLast="47" xr6:coauthVersionMax="47" xr10:uidLastSave="{00000000-0000-0000-0000-000000000000}"/>
  <bookViews>
    <workbookView xWindow="0" yWindow="760" windowWidth="30240" windowHeight="17680" tabRatio="500" activeTab="2" xr2:uid="{00000000-000D-0000-FFFF-FFFF00000000}"/>
  </bookViews>
  <sheets>
    <sheet name="Organigrama" sheetId="1" r:id="rId1"/>
    <sheet name="Dotación" sheetId="2" r:id="rId2"/>
    <sheet name="Instructivo" sheetId="3" r:id="rId3"/>
  </sheets>
  <definedNames>
    <definedName name="_xlnm.Print_Area" localSheetId="0">Organigrama!$A$1:$X$30</definedName>
    <definedName name="_xlnm.Print_Titles" localSheetId="0">Organigrama!$11:$12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2" l="1"/>
  <c r="W28" i="1" s="1"/>
  <c r="E13" i="2"/>
  <c r="V28" i="1" s="1"/>
  <c r="U28" i="1"/>
  <c r="G12" i="2"/>
  <c r="T28" i="1" s="1"/>
  <c r="E12" i="2"/>
  <c r="S28" i="1" s="1"/>
  <c r="C12" i="2"/>
  <c r="R28" i="1" s="1"/>
  <c r="G11" i="2"/>
  <c r="Q28" i="1" s="1"/>
  <c r="E11" i="2"/>
  <c r="C11" i="2"/>
  <c r="O28" i="1" s="1"/>
  <c r="G10" i="2"/>
  <c r="N28" i="1" s="1"/>
  <c r="E10" i="2"/>
  <c r="M28" i="1" s="1"/>
  <c r="C10" i="2"/>
  <c r="L28" i="1" s="1"/>
  <c r="G9" i="2"/>
  <c r="E9" i="2"/>
  <c r="J28" i="1" s="1"/>
  <c r="C9" i="2"/>
  <c r="I28" i="1" s="1"/>
  <c r="G8" i="2"/>
  <c r="H28" i="1" s="1"/>
  <c r="E8" i="2"/>
  <c r="G28" i="1" s="1"/>
  <c r="C8" i="2"/>
  <c r="G7" i="2"/>
  <c r="E28" i="1" s="1"/>
  <c r="E7" i="2"/>
  <c r="D28" i="1" s="1"/>
  <c r="C7" i="2"/>
  <c r="P28" i="1"/>
  <c r="K28" i="1"/>
  <c r="F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D27" i="1"/>
  <c r="C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27" i="1" s="1"/>
  <c r="G9" i="1"/>
  <c r="G8" i="1"/>
  <c r="G7" i="1"/>
</calcChain>
</file>

<file path=xl/sharedStrings.xml><?xml version="1.0" encoding="utf-8"?>
<sst xmlns="http://schemas.openxmlformats.org/spreadsheetml/2006/main" count="81" uniqueCount="59">
  <si>
    <t>GPS GASTRONÓMICO — Organigrama Semanal de Meseros</t>
  </si>
  <si>
    <t>Restaurante:</t>
  </si>
  <si>
    <t>Semana del:</t>
  </si>
  <si>
    <t>DEFINICIÓN DE TURNOS (horario de entrada y salida)</t>
  </si>
  <si>
    <t>TURNO</t>
  </si>
  <si>
    <t>NOMBRE</t>
  </si>
  <si>
    <t>ENTRADA</t>
  </si>
  <si>
    <t>SALIDA</t>
  </si>
  <si>
    <t>HORAS</t>
  </si>
  <si>
    <t>T1</t>
  </si>
  <si>
    <t>Mañana / Mediodía</t>
  </si>
  <si>
    <t>T2</t>
  </si>
  <si>
    <t>Tarde</t>
  </si>
  <si>
    <t>T3</t>
  </si>
  <si>
    <t>Noche</t>
  </si>
  <si>
    <t>MESERO</t>
  </si>
  <si>
    <t>PUESTO</t>
  </si>
  <si>
    <t>LUNES</t>
  </si>
  <si>
    <t>MARTES</t>
  </si>
  <si>
    <t>MIÉRCOLES</t>
  </si>
  <si>
    <t>JUEVES</t>
  </si>
  <si>
    <t>VIERNES</t>
  </si>
  <si>
    <t>SÁBADO</t>
  </si>
  <si>
    <t>DOMINGO</t>
  </si>
  <si>
    <t>TOTAL HORAS</t>
  </si>
  <si>
    <t>jorge</t>
  </si>
  <si>
    <t>terraza</t>
  </si>
  <si>
    <t>marcelo</t>
  </si>
  <si>
    <t>ASIGNADOS</t>
  </si>
  <si>
    <t>NECESARIOS</t>
  </si>
  <si>
    <t>En cada celda escriba las HORAS que trabaja el mesero en ese turno. TOTAL HORAS las suma por mesero; abajo, el total del equipo. ASIGNADOS cuenta los meseros del turno; NECESARIOS viene de la hoja “Dotación”. Verde = cubierto · Rojo = faltan meseros.</t>
  </si>
  <si>
    <t>GPS GASTRONÓMICO</t>
  </si>
  <si>
    <t>Dotación — cálculo de meseros por día y turno (3 turnos)</t>
  </si>
  <si>
    <t>Ratio comensales/mesero:</t>
  </si>
  <si>
    <t>Mínimo meseros por turno:</t>
  </si>
  <si>
    <t>Cargue los comensales esperados por turno. Dotación = el MAYOR entre (comensales ÷ ratio) y el mínimo por turno. Los nombres de los turnos se definen en la hoja Organigrama.</t>
  </si>
  <si>
    <t>DÍA</t>
  </si>
  <si>
    <t>COMENS. T1</t>
  </si>
  <si>
    <t>MESEROS T1</t>
  </si>
  <si>
    <t>COMENS. T2</t>
  </si>
  <si>
    <t>MESEROS T2</t>
  </si>
  <si>
    <t>COMENS. T3</t>
  </si>
  <si>
    <t>MESEROS T3</t>
  </si>
  <si>
    <t>Lunes</t>
  </si>
  <si>
    <t>Martes</t>
  </si>
  <si>
    <t>Miércoles</t>
  </si>
  <si>
    <t>Jueves</t>
  </si>
  <si>
    <t>Viernes</t>
  </si>
  <si>
    <t>Sábado</t>
  </si>
  <si>
    <t>Domingo</t>
  </si>
  <si>
    <t>CÓMO USAR EL ORGANIGRAMA SEMANAL</t>
  </si>
  <si>
    <t>1. En "Organigrama", DEFINICIÓN DE TURNOS: ajuste el nombre y el horario de entrada/salida de cada turno (T1, T2, T3). Las horas se calculan solas.</t>
  </si>
  <si>
    <t>2. En "Dotación": cargue el ratio, el mínimo de meseros por turno y los comensales esperados de cada turno por día. Calcula los meseros necesarios.</t>
  </si>
  <si>
    <t>3. En "Organigrama": escriba los nombres de los meseros y su puesto.</t>
  </si>
  <si>
    <t>4. En cada cruce mesero / día / turno, escriba las HORAS que trabaja en ese turno (la duración estándar del turno u horas reales).</t>
  </si>
  <si>
    <t>5. TOTAL HORAS suma las horas que cargó cada mesero en la semana; abajo aparece el total de horas del equipo.</t>
  </si>
  <si>
    <t>6. ASIGNADOS cuenta los meseros por turno y NECESARIOS los compara: ROJO = faltan, VERDE = cubierto.</t>
  </si>
  <si>
    <t>7. Imprima la hoja "Organigrama" (horizontal, ajustada a una página) y péguela en la zona de meseros.</t>
  </si>
  <si>
    <t>Celdas crema = se completan a mano. Celdas grises = se calculan solas.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</si>
</sst>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0.0"/>
  </numFmts>
  <fonts count="18" x14ac:knownFonts="1">
    <font>
      <sz val="11"/>
      <color theme="1"/>
      <name val="Calibri"/>
      <family val="2"/>
      <charset val="1"/>
    </font>
    <font>
      <b/>
      <sz val="16"/>
      <color rgb="FF0A2540"/>
      <name val="Arial"/>
      <family val="2"/>
      <charset val="1"/>
    </font>
    <font>
      <sz val="10"/>
      <color rgb="FF1A1A1A"/>
      <name val="Arial"/>
      <family val="2"/>
      <charset val="1"/>
    </font>
    <font>
      <b/>
      <sz val="12"/>
      <color rgb="FF1A1A1A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22"/>
      <color theme="0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4"/>
      <color rgb="FF1A1A1A"/>
      <name val="Arial"/>
      <family val="2"/>
      <charset val="1"/>
    </font>
    <font>
      <sz val="14"/>
      <color rgb="FF1A1A1A"/>
      <name val="Arial"/>
      <family val="2"/>
      <charset val="1"/>
    </font>
    <font>
      <b/>
      <sz val="14"/>
      <color rgb="FF0A254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2"/>
      <color rgb="FF0A2540"/>
      <name val="Arial"/>
      <family val="2"/>
      <charset val="1"/>
    </font>
    <font>
      <sz val="12"/>
      <color rgb="FF1A1A1A"/>
      <name val="Arial"/>
      <family val="2"/>
      <charset val="1"/>
    </font>
    <font>
      <i/>
      <sz val="11"/>
      <color rgb="FFFF0000"/>
      <name val="Arial"/>
      <family val="2"/>
      <charset val="1"/>
    </font>
    <font>
      <b/>
      <sz val="14"/>
      <color rgb="FF0F8B8D"/>
      <name val="Arial"/>
      <family val="2"/>
      <charset val="1"/>
    </font>
    <font>
      <b/>
      <sz val="18"/>
      <color theme="0"/>
      <name val="Arial"/>
      <family val="2"/>
      <charset val="1"/>
    </font>
    <font>
      <sz val="14"/>
      <color theme="1"/>
      <name val="Calibri"/>
      <family val="2"/>
      <charset val="1"/>
    </font>
    <font>
      <i/>
      <sz val="12"/>
      <color rgb="FFFF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0A2540"/>
        <bgColor rgb="FF12304A"/>
      </patternFill>
    </fill>
    <fill>
      <patternFill patternType="solid">
        <fgColor rgb="FF5A6B7B"/>
        <bgColor rgb="FF808080"/>
      </patternFill>
    </fill>
    <fill>
      <patternFill patternType="solid">
        <fgColor rgb="FFEAF2F2"/>
        <bgColor rgb="FFDCF1E6"/>
      </patternFill>
    </fill>
    <fill>
      <patternFill patternType="solid">
        <fgColor rgb="FFD9DDE1"/>
        <bgColor rgb="FFDCF1E6"/>
      </patternFill>
    </fill>
    <fill>
      <patternFill patternType="solid">
        <fgColor rgb="FF12304A"/>
        <bgColor rgb="FF0A2540"/>
      </patternFill>
    </fill>
    <fill>
      <patternFill patternType="solid">
        <fgColor rgb="FFC9A227"/>
        <bgColor rgb="FF99CC00"/>
      </patternFill>
    </fill>
    <fill>
      <patternFill patternType="solid">
        <fgColor rgb="FF0F8B8D"/>
        <bgColor rgb="FF0C6E70"/>
      </patternFill>
    </fill>
    <fill>
      <patternFill patternType="solid">
        <fgColor rgb="FF0C6E70"/>
        <bgColor rgb="FF09595B"/>
      </patternFill>
    </fill>
    <fill>
      <patternFill patternType="solid">
        <fgColor rgb="FF09595B"/>
        <bgColor rgb="FF0C6E70"/>
      </patternFill>
    </fill>
    <fill>
      <patternFill patternType="solid">
        <fgColor rgb="FFFFFFFF"/>
        <bgColor rgb="FFFFF8E1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9FB3BD"/>
      </left>
      <right/>
      <top style="thin">
        <color rgb="FF9FB3BD"/>
      </top>
      <bottom style="thin">
        <color rgb="FF9FB3BD"/>
      </bottom>
      <diagonal/>
    </border>
    <border>
      <left style="thin">
        <color rgb="FF9FB3BD"/>
      </left>
      <right style="thin">
        <color rgb="FF9FB3BD"/>
      </right>
      <top style="thin">
        <color rgb="FF9FB3BD"/>
      </top>
      <bottom style="thin">
        <color rgb="FF9FB3BD"/>
      </bottom>
      <diagonal/>
    </border>
    <border>
      <left style="thin">
        <color rgb="FF9FB3BD"/>
      </left>
      <right style="thin">
        <color rgb="FF9FB3BD"/>
      </right>
      <top style="thin">
        <color rgb="FF9FB3BD"/>
      </top>
      <bottom/>
      <diagonal/>
    </border>
    <border>
      <left style="thin">
        <color rgb="FF9FB3BD"/>
      </left>
      <right/>
      <top/>
      <bottom style="thin">
        <color rgb="FF9FB3B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9FB3BD"/>
      </left>
      <right style="thin">
        <color rgb="FF9FB3BD"/>
      </right>
      <top style="thin">
        <color rgb="FF9FB3BD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FB3BD"/>
      </left>
      <right style="thin">
        <color rgb="FF9FB3BD"/>
      </right>
      <top/>
      <bottom style="thin">
        <color rgb="FF9FB3B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4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1" fontId="3" fillId="6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1" fontId="11" fillId="6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165" fontId="11" fillId="6" borderId="2" xfId="0" applyNumberFormat="1" applyFont="1" applyFill="1" applyBorder="1" applyAlignment="1">
      <alignment horizontal="center" vertical="center"/>
    </xf>
    <xf numFmtId="0" fontId="0" fillId="13" borderId="0" xfId="0" applyFill="1"/>
    <xf numFmtId="0" fontId="0" fillId="15" borderId="0" xfId="0" applyFill="1"/>
    <xf numFmtId="0" fontId="7" fillId="12" borderId="2" xfId="0" applyFont="1" applyFill="1" applyBorder="1" applyAlignment="1">
      <alignment horizontal="left" vertical="center"/>
    </xf>
    <xf numFmtId="1" fontId="8" fillId="2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16" fillId="13" borderId="0" xfId="0" applyFont="1" applyFill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7" fillId="2" borderId="13" xfId="0" applyFont="1" applyFill="1" applyBorder="1" applyAlignment="1">
      <alignment horizontal="center" vertical="center"/>
    </xf>
    <xf numFmtId="0" fontId="16" fillId="0" borderId="14" xfId="0" applyFont="1" applyBorder="1"/>
    <xf numFmtId="0" fontId="10" fillId="4" borderId="15" xfId="0" applyFont="1" applyFill="1" applyBorder="1" applyAlignment="1">
      <alignment horizontal="center" vertical="center" wrapText="1"/>
    </xf>
    <xf numFmtId="0" fontId="0" fillId="16" borderId="0" xfId="0" applyFill="1"/>
    <xf numFmtId="0" fontId="5" fillId="1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14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sz val="9"/>
        <color rgb="FF1E8449"/>
        <name val="Arial"/>
        <charset val="1"/>
      </font>
      <fill>
        <patternFill>
          <bgColor rgb="FFDCF1E6"/>
        </patternFill>
      </fill>
    </dxf>
    <dxf>
      <font>
        <b/>
        <sz val="9"/>
        <color rgb="FFC0392B"/>
        <name val="Arial"/>
        <charset val="1"/>
      </font>
      <fill>
        <patternFill>
          <bgColor rgb="FFF7D7D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9FB3BD"/>
      <rgbColor rgb="FF808080"/>
      <rgbColor rgb="FF9999FF"/>
      <rgbColor rgb="FF993366"/>
      <rgbColor rgb="FFFFF8E1"/>
      <rgbColor rgb="FFDCF1E6"/>
      <rgbColor rgb="FF660066"/>
      <rgbColor rgb="FFFF8080"/>
      <rgbColor rgb="FF09595B"/>
      <rgbColor rgb="FFD9DDE1"/>
      <rgbColor rgb="FF000080"/>
      <rgbColor rgb="FFFF00FF"/>
      <rgbColor rgb="FFFFFF00"/>
      <rgbColor rgb="FF00FFFF"/>
      <rgbColor rgb="FF800080"/>
      <rgbColor rgb="FF800000"/>
      <rgbColor rgb="FF0C6E70"/>
      <rgbColor rgb="FF0000FF"/>
      <rgbColor rgb="FF00CCFF"/>
      <rgbColor rgb="FFEAF2F2"/>
      <rgbColor rgb="FFCCFFCC"/>
      <rgbColor rgb="FFFFFF99"/>
      <rgbColor rgb="FF99CCFF"/>
      <rgbColor rgb="FFFF99CC"/>
      <rgbColor rgb="FFCC99FF"/>
      <rgbColor rgb="FFF7D7D7"/>
      <rgbColor rgb="FF3366FF"/>
      <rgbColor rgb="FF33CCCC"/>
      <rgbColor rgb="FF99CC00"/>
      <rgbColor rgb="FFFFCC00"/>
      <rgbColor rgb="FFC9A227"/>
      <rgbColor rgb="FFFF6600"/>
      <rgbColor rgb="FF5A6B7B"/>
      <rgbColor rgb="FF969696"/>
      <rgbColor rgb="FF12304A"/>
      <rgbColor rgb="FF1E8449"/>
      <rgbColor rgb="FF0A254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6"/>
  <sheetViews>
    <sheetView showGridLines="0" topLeftCell="A10" zoomScale="156" zoomScaleNormal="100" workbookViewId="0">
      <selection activeCell="G29" sqref="G29"/>
    </sheetView>
  </sheetViews>
  <sheetFormatPr baseColWidth="10" defaultColWidth="8.6640625" defaultRowHeight="15" x14ac:dyDescent="0.2"/>
  <cols>
    <col min="1" max="1" width="20" customWidth="1"/>
    <col min="2" max="2" width="23.5" customWidth="1"/>
    <col min="3" max="7" width="5.1640625" customWidth="1"/>
    <col min="8" max="8" width="13.33203125" customWidth="1"/>
    <col min="9" max="23" width="5.1640625" customWidth="1"/>
    <col min="24" max="24" width="9" customWidth="1"/>
  </cols>
  <sheetData>
    <row r="1" spans="1:24" ht="77" customHeight="1" thickBo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56" customHeight="1" thickBot="1" x14ac:dyDescent="0.25">
      <c r="A2" s="33" t="s">
        <v>1</v>
      </c>
      <c r="B2" s="34"/>
      <c r="C2" s="34"/>
      <c r="D2" s="34"/>
      <c r="E2" s="34"/>
      <c r="F2" s="35"/>
      <c r="G2" s="33" t="s">
        <v>2</v>
      </c>
      <c r="H2" s="34"/>
      <c r="I2" s="34"/>
      <c r="J2" s="34"/>
      <c r="K2" s="34"/>
      <c r="L2" s="34"/>
      <c r="M2" s="34"/>
      <c r="N2" s="35"/>
      <c r="O2" s="3"/>
      <c r="P2" s="3"/>
      <c r="Q2" s="3"/>
      <c r="R2" s="3"/>
      <c r="S2" s="3"/>
      <c r="T2" s="3"/>
      <c r="U2" s="3"/>
      <c r="V2" s="3"/>
      <c r="W2" s="3"/>
      <c r="X2" s="4"/>
    </row>
    <row r="3" spans="1:24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x14ac:dyDescent="0.2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46" customHeight="1" x14ac:dyDescent="0.2">
      <c r="A5" s="37" t="s">
        <v>3</v>
      </c>
      <c r="B5" s="37"/>
      <c r="C5" s="37"/>
      <c r="D5" s="37"/>
      <c r="E5" s="37"/>
      <c r="F5" s="37"/>
      <c r="G5" s="37"/>
      <c r="H5" s="37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4" ht="25" customHeight="1" x14ac:dyDescent="0.2">
      <c r="A6" s="5" t="s">
        <v>4</v>
      </c>
      <c r="B6" s="5" t="s">
        <v>5</v>
      </c>
      <c r="C6" s="38" t="s">
        <v>6</v>
      </c>
      <c r="D6" s="38"/>
      <c r="E6" s="38" t="s">
        <v>7</v>
      </c>
      <c r="F6" s="38"/>
      <c r="G6" s="38" t="s">
        <v>8</v>
      </c>
      <c r="H6" s="38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1:24" ht="18" x14ac:dyDescent="0.2">
      <c r="A7" s="6" t="s">
        <v>9</v>
      </c>
      <c r="B7" s="7" t="s">
        <v>10</v>
      </c>
      <c r="C7" s="39">
        <v>0.45833333333333298</v>
      </c>
      <c r="D7" s="39"/>
      <c r="E7" s="39">
        <v>0.66666666666666696</v>
      </c>
      <c r="F7" s="39"/>
      <c r="G7" s="40">
        <f>IF(E7&gt;C7,(E7-C7)*24,(E7+1-C7)*24)</f>
        <v>5.000000000000016</v>
      </c>
      <c r="H7" s="4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ht="18" x14ac:dyDescent="0.2">
      <c r="A8" s="6" t="s">
        <v>11</v>
      </c>
      <c r="B8" s="7" t="s">
        <v>12</v>
      </c>
      <c r="C8" s="39">
        <v>0.66666666666666696</v>
      </c>
      <c r="D8" s="39"/>
      <c r="E8" s="39">
        <v>0.83333333333333304</v>
      </c>
      <c r="F8" s="39"/>
      <c r="G8" s="40">
        <f>IF(E8&gt;C8,(E8-C8)*24,(E8+1-C8)*24)</f>
        <v>3.9999999999999858</v>
      </c>
      <c r="H8" s="4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4" ht="18" x14ac:dyDescent="0.2">
      <c r="A9" s="6" t="s">
        <v>13</v>
      </c>
      <c r="B9" s="7" t="s">
        <v>14</v>
      </c>
      <c r="C9" s="39">
        <v>0.83333333333333304</v>
      </c>
      <c r="D9" s="39"/>
      <c r="E9" s="39">
        <v>0</v>
      </c>
      <c r="F9" s="39"/>
      <c r="G9" s="40">
        <f>IF(E9&gt;C9,(E9-C9)*24,(E9+1-C9)*24)</f>
        <v>4.0000000000000071</v>
      </c>
      <c r="H9" s="40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 spans="1:24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1:24" ht="15.75" customHeight="1" x14ac:dyDescent="0.2">
      <c r="A11" s="46" t="s">
        <v>15</v>
      </c>
      <c r="B11" s="47" t="s">
        <v>16</v>
      </c>
      <c r="C11" s="44" t="s">
        <v>17</v>
      </c>
      <c r="D11" s="44"/>
      <c r="E11" s="44"/>
      <c r="F11" s="43" t="s">
        <v>18</v>
      </c>
      <c r="G11" s="43"/>
      <c r="H11" s="43"/>
      <c r="I11" s="44" t="s">
        <v>19</v>
      </c>
      <c r="J11" s="44"/>
      <c r="K11" s="44"/>
      <c r="L11" s="43" t="s">
        <v>20</v>
      </c>
      <c r="M11" s="43"/>
      <c r="N11" s="43"/>
      <c r="O11" s="44" t="s">
        <v>21</v>
      </c>
      <c r="P11" s="44"/>
      <c r="Q11" s="44"/>
      <c r="R11" s="43" t="s">
        <v>22</v>
      </c>
      <c r="S11" s="43"/>
      <c r="T11" s="43"/>
      <c r="U11" s="44" t="s">
        <v>23</v>
      </c>
      <c r="V11" s="44"/>
      <c r="W11" s="44"/>
      <c r="X11" s="45" t="s">
        <v>24</v>
      </c>
    </row>
    <row r="12" spans="1:24" ht="29" customHeight="1" x14ac:dyDescent="0.2">
      <c r="A12" s="46"/>
      <c r="B12" s="46"/>
      <c r="C12" s="13" t="s">
        <v>9</v>
      </c>
      <c r="D12" s="14" t="s">
        <v>11</v>
      </c>
      <c r="E12" s="15" t="s">
        <v>13</v>
      </c>
      <c r="F12" s="13" t="s">
        <v>9</v>
      </c>
      <c r="G12" s="14" t="s">
        <v>11</v>
      </c>
      <c r="H12" s="15" t="s">
        <v>13</v>
      </c>
      <c r="I12" s="13" t="s">
        <v>9</v>
      </c>
      <c r="J12" s="14" t="s">
        <v>11</v>
      </c>
      <c r="K12" s="15" t="s">
        <v>13</v>
      </c>
      <c r="L12" s="13" t="s">
        <v>9</v>
      </c>
      <c r="M12" s="14" t="s">
        <v>11</v>
      </c>
      <c r="N12" s="15" t="s">
        <v>13</v>
      </c>
      <c r="O12" s="13" t="s">
        <v>9</v>
      </c>
      <c r="P12" s="14" t="s">
        <v>11</v>
      </c>
      <c r="Q12" s="15" t="s">
        <v>13</v>
      </c>
      <c r="R12" s="13" t="s">
        <v>9</v>
      </c>
      <c r="S12" s="14" t="s">
        <v>11</v>
      </c>
      <c r="T12" s="15" t="s">
        <v>13</v>
      </c>
      <c r="U12" s="13" t="s">
        <v>9</v>
      </c>
      <c r="V12" s="14" t="s">
        <v>11</v>
      </c>
      <c r="W12" s="15" t="s">
        <v>13</v>
      </c>
      <c r="X12" s="45"/>
    </row>
    <row r="13" spans="1:24" ht="16" x14ac:dyDescent="0.2">
      <c r="A13" s="12" t="s">
        <v>25</v>
      </c>
      <c r="B13" s="12" t="s">
        <v>26</v>
      </c>
      <c r="C13" s="16">
        <v>5</v>
      </c>
      <c r="D13" s="16"/>
      <c r="E13" s="16">
        <v>5</v>
      </c>
      <c r="F13" s="16">
        <v>5</v>
      </c>
      <c r="G13" s="16"/>
      <c r="H13" s="16">
        <v>8</v>
      </c>
      <c r="I13" s="16">
        <v>5</v>
      </c>
      <c r="J13" s="16"/>
      <c r="K13" s="16">
        <v>8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7">
        <f t="shared" ref="X13:X26" si="0">SUM(C13:W13)</f>
        <v>36</v>
      </c>
    </row>
    <row r="14" spans="1:24" ht="16" x14ac:dyDescent="0.2">
      <c r="A14" s="12" t="s">
        <v>27</v>
      </c>
      <c r="B14" s="12" t="s">
        <v>26</v>
      </c>
      <c r="C14" s="11">
        <v>5</v>
      </c>
      <c r="D14" s="11"/>
      <c r="E14" s="11">
        <v>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7">
        <f t="shared" si="0"/>
        <v>10</v>
      </c>
    </row>
    <row r="15" spans="1:24" ht="16" x14ac:dyDescent="0.2">
      <c r="A15" s="12"/>
      <c r="B15" s="12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7">
        <f t="shared" si="0"/>
        <v>0</v>
      </c>
    </row>
    <row r="16" spans="1:24" ht="16" x14ac:dyDescent="0.2">
      <c r="A16" s="12"/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7">
        <f t="shared" si="0"/>
        <v>0</v>
      </c>
    </row>
    <row r="17" spans="1:24" ht="16" x14ac:dyDescent="0.2">
      <c r="A17" s="12"/>
      <c r="B17" s="12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7">
        <f t="shared" si="0"/>
        <v>0</v>
      </c>
    </row>
    <row r="18" spans="1:24" ht="16" x14ac:dyDescent="0.2">
      <c r="A18" s="12"/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7">
        <f t="shared" si="0"/>
        <v>0</v>
      </c>
    </row>
    <row r="19" spans="1:24" ht="16" x14ac:dyDescent="0.2">
      <c r="A19" s="12"/>
      <c r="B19" s="12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7">
        <f t="shared" si="0"/>
        <v>0</v>
      </c>
    </row>
    <row r="20" spans="1:24" ht="16" x14ac:dyDescent="0.2">
      <c r="A20" s="12"/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7">
        <f t="shared" si="0"/>
        <v>0</v>
      </c>
    </row>
    <row r="21" spans="1:24" ht="16" x14ac:dyDescent="0.2">
      <c r="A21" s="12"/>
      <c r="B21" s="12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7">
        <f t="shared" si="0"/>
        <v>0</v>
      </c>
    </row>
    <row r="22" spans="1:24" ht="16" x14ac:dyDescent="0.2">
      <c r="A22" s="12"/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7">
        <f t="shared" si="0"/>
        <v>0</v>
      </c>
    </row>
    <row r="23" spans="1:24" ht="16" x14ac:dyDescent="0.2">
      <c r="A23" s="12"/>
      <c r="B23" s="12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7">
        <f t="shared" si="0"/>
        <v>0</v>
      </c>
    </row>
    <row r="24" spans="1:24" ht="16" x14ac:dyDescent="0.2">
      <c r="A24" s="12"/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7">
        <f t="shared" si="0"/>
        <v>0</v>
      </c>
    </row>
    <row r="25" spans="1:24" ht="16" x14ac:dyDescent="0.2">
      <c r="A25" s="12"/>
      <c r="B25" s="12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7">
        <f t="shared" si="0"/>
        <v>0</v>
      </c>
    </row>
    <row r="26" spans="1:24" ht="16" x14ac:dyDescent="0.2">
      <c r="A26" s="12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7">
        <f t="shared" si="0"/>
        <v>0</v>
      </c>
    </row>
    <row r="27" spans="1:24" ht="29" customHeight="1" x14ac:dyDescent="0.2">
      <c r="A27" s="41" t="s">
        <v>28</v>
      </c>
      <c r="B27" s="41"/>
      <c r="C27" s="8">
        <f t="shared" ref="C27:W27" si="1">COUNTA(C13:C26)</f>
        <v>2</v>
      </c>
      <c r="D27" s="8">
        <f t="shared" si="1"/>
        <v>0</v>
      </c>
      <c r="E27" s="8">
        <v>4</v>
      </c>
      <c r="F27" s="8">
        <f t="shared" si="1"/>
        <v>1</v>
      </c>
      <c r="G27" s="8">
        <f t="shared" si="1"/>
        <v>0</v>
      </c>
      <c r="H27" s="8">
        <f t="shared" si="1"/>
        <v>1</v>
      </c>
      <c r="I27" s="8">
        <f t="shared" si="1"/>
        <v>1</v>
      </c>
      <c r="J27" s="8">
        <f t="shared" si="1"/>
        <v>0</v>
      </c>
      <c r="K27" s="8">
        <f t="shared" si="1"/>
        <v>1</v>
      </c>
      <c r="L27" s="8">
        <f t="shared" si="1"/>
        <v>0</v>
      </c>
      <c r="M27" s="8">
        <f t="shared" si="1"/>
        <v>0</v>
      </c>
      <c r="N27" s="8">
        <f t="shared" si="1"/>
        <v>0</v>
      </c>
      <c r="O27" s="8">
        <f t="shared" si="1"/>
        <v>0</v>
      </c>
      <c r="P27" s="8">
        <f t="shared" si="1"/>
        <v>0</v>
      </c>
      <c r="Q27" s="8">
        <f t="shared" si="1"/>
        <v>0</v>
      </c>
      <c r="R27" s="8">
        <f t="shared" si="1"/>
        <v>0</v>
      </c>
      <c r="S27" s="8">
        <f t="shared" si="1"/>
        <v>0</v>
      </c>
      <c r="T27" s="8">
        <f t="shared" si="1"/>
        <v>0</v>
      </c>
      <c r="U27" s="8">
        <f t="shared" si="1"/>
        <v>0</v>
      </c>
      <c r="V27" s="8">
        <f t="shared" si="1"/>
        <v>0</v>
      </c>
      <c r="W27" s="8">
        <f t="shared" si="1"/>
        <v>0</v>
      </c>
      <c r="X27" s="9">
        <f>SUM(X13:X26)</f>
        <v>46</v>
      </c>
    </row>
    <row r="28" spans="1:24" ht="27" customHeight="1" x14ac:dyDescent="0.2">
      <c r="A28" s="41" t="s">
        <v>29</v>
      </c>
      <c r="B28" s="41"/>
      <c r="C28" s="10">
        <v>3</v>
      </c>
      <c r="D28" s="10">
        <f>Dotación!E7</f>
        <v>2</v>
      </c>
      <c r="E28" s="10">
        <f>Dotación!G7</f>
        <v>4</v>
      </c>
      <c r="F28" s="10" t="str">
        <f>Dotación!C8</f>
        <v/>
      </c>
      <c r="G28" s="10" t="str">
        <f>Dotación!E8</f>
        <v/>
      </c>
      <c r="H28" s="10" t="str">
        <f>Dotación!G8</f>
        <v/>
      </c>
      <c r="I28" s="10" t="str">
        <f>Dotación!C9</f>
        <v/>
      </c>
      <c r="J28" s="10" t="str">
        <f>Dotación!E9</f>
        <v/>
      </c>
      <c r="K28" s="10" t="str">
        <f>Dotación!G9</f>
        <v/>
      </c>
      <c r="L28" s="10" t="str">
        <f>Dotación!C10</f>
        <v/>
      </c>
      <c r="M28" s="10" t="str">
        <f>Dotación!E10</f>
        <v/>
      </c>
      <c r="N28" s="10" t="str">
        <f>Dotación!G10</f>
        <v/>
      </c>
      <c r="O28" s="10" t="str">
        <f>Dotación!C11</f>
        <v/>
      </c>
      <c r="P28" s="10" t="str">
        <f>Dotación!E11</f>
        <v/>
      </c>
      <c r="Q28" s="10" t="str">
        <f>Dotación!G11</f>
        <v/>
      </c>
      <c r="R28" s="10" t="str">
        <f>Dotación!C12</f>
        <v/>
      </c>
      <c r="S28" s="10" t="str">
        <f>Dotación!E12</f>
        <v/>
      </c>
      <c r="T28" s="10" t="str">
        <f>Dotación!G12</f>
        <v/>
      </c>
      <c r="U28" s="10">
        <f>Dotación!C13</f>
        <v>0</v>
      </c>
      <c r="V28" s="10" t="str">
        <f>Dotación!E13</f>
        <v/>
      </c>
      <c r="W28" s="10" t="str">
        <f>Dotación!G13</f>
        <v/>
      </c>
      <c r="X28" s="11"/>
    </row>
    <row r="30" spans="1:24" ht="27.75" customHeight="1" x14ac:dyDescent="0.2">
      <c r="A30" s="42" t="s">
        <v>30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2" spans="1:24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1:24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</sheetData>
  <mergeCells count="31">
    <mergeCell ref="A27:B27"/>
    <mergeCell ref="A28:B28"/>
    <mergeCell ref="A30:X30"/>
    <mergeCell ref="L11:N11"/>
    <mergeCell ref="O11:Q11"/>
    <mergeCell ref="R11:T11"/>
    <mergeCell ref="U11:W11"/>
    <mergeCell ref="X11:X12"/>
    <mergeCell ref="A11:A12"/>
    <mergeCell ref="B11:B12"/>
    <mergeCell ref="C11:E11"/>
    <mergeCell ref="F11:H11"/>
    <mergeCell ref="I11:K11"/>
    <mergeCell ref="C8:D8"/>
    <mergeCell ref="E8:F8"/>
    <mergeCell ref="G8:H8"/>
    <mergeCell ref="C9:D9"/>
    <mergeCell ref="E9:F9"/>
    <mergeCell ref="G9:H9"/>
    <mergeCell ref="A5:H5"/>
    <mergeCell ref="C6:D6"/>
    <mergeCell ref="E6:F6"/>
    <mergeCell ref="G6:H6"/>
    <mergeCell ref="C7:D7"/>
    <mergeCell ref="E7:F7"/>
    <mergeCell ref="G7:H7"/>
    <mergeCell ref="A1:X1"/>
    <mergeCell ref="A2:F2"/>
    <mergeCell ref="G2:N2"/>
    <mergeCell ref="A3:F3"/>
    <mergeCell ref="G3:N3"/>
  </mergeCells>
  <conditionalFormatting sqref="C27:W27">
    <cfRule type="expression" dxfId="1" priority="2">
      <formula>AND(ISNUMBER(C28),C28&gt;0,C27&lt;C28)</formula>
    </cfRule>
    <cfRule type="expression" dxfId="0" priority="3">
      <formula>AND(ISNUMBER(C28),C28&gt;0,C27&gt;=C28)</formula>
    </cfRule>
  </conditionalFormatting>
  <pageMargins left="0.25" right="0.25" top="0.35" bottom="0.3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showGridLines="0" zoomScale="150" zoomScaleNormal="100" workbookViewId="0">
      <selection activeCell="C13" sqref="C13"/>
    </sheetView>
  </sheetViews>
  <sheetFormatPr baseColWidth="10" defaultColWidth="8.6640625" defaultRowHeight="15" x14ac:dyDescent="0.2"/>
  <cols>
    <col min="1" max="1" width="12" customWidth="1"/>
    <col min="2" max="2" width="18.6640625" customWidth="1"/>
    <col min="3" max="3" width="18" customWidth="1"/>
    <col min="4" max="4" width="16" customWidth="1"/>
    <col min="5" max="5" width="19.33203125" customWidth="1"/>
    <col min="6" max="6" width="16.83203125" customWidth="1"/>
    <col min="7" max="7" width="18.83203125" customWidth="1"/>
  </cols>
  <sheetData>
    <row r="1" spans="1:7" ht="69" customHeight="1" thickBot="1" x14ac:dyDescent="0.25">
      <c r="A1" s="48" t="s">
        <v>31</v>
      </c>
      <c r="B1" s="48"/>
      <c r="C1" s="48"/>
      <c r="D1" s="48"/>
      <c r="E1" s="48"/>
      <c r="F1" s="48"/>
      <c r="G1" s="48"/>
    </row>
    <row r="2" spans="1:7" ht="30" customHeight="1" thickBot="1" x14ac:dyDescent="0.25">
      <c r="A2" s="49" t="s">
        <v>32</v>
      </c>
      <c r="B2" s="50"/>
      <c r="C2" s="50"/>
      <c r="D2" s="50"/>
      <c r="E2" s="50"/>
      <c r="F2" s="50"/>
      <c r="G2" s="51"/>
    </row>
    <row r="3" spans="1:7" ht="19" x14ac:dyDescent="0.25">
      <c r="A3" s="25"/>
      <c r="B3" s="26"/>
      <c r="C3" s="26"/>
      <c r="D3" s="26"/>
      <c r="E3" s="26"/>
      <c r="F3" s="26"/>
      <c r="G3" s="27"/>
    </row>
    <row r="4" spans="1:7" ht="32" customHeight="1" thickBot="1" x14ac:dyDescent="0.3">
      <c r="A4" s="52" t="s">
        <v>33</v>
      </c>
      <c r="B4" s="53"/>
      <c r="C4" s="28">
        <v>20</v>
      </c>
      <c r="D4" s="53" t="s">
        <v>34</v>
      </c>
      <c r="E4" s="53"/>
      <c r="F4" s="28">
        <v>1</v>
      </c>
      <c r="G4" s="29"/>
    </row>
    <row r="5" spans="1:7" ht="49" customHeight="1" thickBot="1" x14ac:dyDescent="0.25">
      <c r="A5" s="54" t="s">
        <v>35</v>
      </c>
      <c r="B5" s="55"/>
      <c r="C5" s="55"/>
      <c r="D5" s="55"/>
      <c r="E5" s="55"/>
      <c r="F5" s="55"/>
      <c r="G5" s="56"/>
    </row>
    <row r="6" spans="1:7" ht="48" customHeight="1" x14ac:dyDescent="0.2">
      <c r="A6" s="30" t="s">
        <v>36</v>
      </c>
      <c r="B6" s="30" t="s">
        <v>37</v>
      </c>
      <c r="C6" s="30" t="s">
        <v>38</v>
      </c>
      <c r="D6" s="30" t="s">
        <v>39</v>
      </c>
      <c r="E6" s="30" t="s">
        <v>40</v>
      </c>
      <c r="F6" s="30" t="s">
        <v>41</v>
      </c>
      <c r="G6" s="30" t="s">
        <v>42</v>
      </c>
    </row>
    <row r="7" spans="1:7" ht="18" x14ac:dyDescent="0.2">
      <c r="A7" s="20" t="s">
        <v>43</v>
      </c>
      <c r="B7" s="21">
        <v>20</v>
      </c>
      <c r="C7" s="22">
        <f t="shared" ref="C7:C13" si="0">IF(ISNUMBER(B7),MAX(ROUNDUP(B7/$C$4,0),$F$4),"")</f>
        <v>1</v>
      </c>
      <c r="D7" s="21">
        <v>40</v>
      </c>
      <c r="E7" s="22">
        <f t="shared" ref="E7:E13" si="1">IF(ISNUMBER(D7),MAX(ROUNDUP(D7/$C$4,0),$F$4),"")</f>
        <v>2</v>
      </c>
      <c r="F7" s="21">
        <v>80</v>
      </c>
      <c r="G7" s="22">
        <f t="shared" ref="G7:G13" si="2">IF(ISNUMBER(F7),MAX(ROUNDUP(F7/$C$4,0),$F$4),"")</f>
        <v>4</v>
      </c>
    </row>
    <row r="8" spans="1:7" ht="18" x14ac:dyDescent="0.2">
      <c r="A8" s="23" t="s">
        <v>44</v>
      </c>
      <c r="B8" s="21"/>
      <c r="C8" s="22" t="str">
        <f t="shared" si="0"/>
        <v/>
      </c>
      <c r="D8" s="21"/>
      <c r="E8" s="22" t="str">
        <f t="shared" si="1"/>
        <v/>
      </c>
      <c r="F8" s="21"/>
      <c r="G8" s="22" t="str">
        <f t="shared" si="2"/>
        <v/>
      </c>
    </row>
    <row r="9" spans="1:7" ht="18" x14ac:dyDescent="0.2">
      <c r="A9" s="20" t="s">
        <v>45</v>
      </c>
      <c r="B9" s="21"/>
      <c r="C9" s="22" t="str">
        <f t="shared" si="0"/>
        <v/>
      </c>
      <c r="D9" s="21"/>
      <c r="E9" s="22" t="str">
        <f t="shared" si="1"/>
        <v/>
      </c>
      <c r="F9" s="21"/>
      <c r="G9" s="22" t="str">
        <f t="shared" si="2"/>
        <v/>
      </c>
    </row>
    <row r="10" spans="1:7" ht="18" x14ac:dyDescent="0.2">
      <c r="A10" s="23" t="s">
        <v>46</v>
      </c>
      <c r="B10" s="21"/>
      <c r="C10" s="22" t="str">
        <f t="shared" si="0"/>
        <v/>
      </c>
      <c r="D10" s="21"/>
      <c r="E10" s="22" t="str">
        <f t="shared" si="1"/>
        <v/>
      </c>
      <c r="F10" s="21"/>
      <c r="G10" s="22" t="str">
        <f t="shared" si="2"/>
        <v/>
      </c>
    </row>
    <row r="11" spans="1:7" ht="18" x14ac:dyDescent="0.2">
      <c r="A11" s="20" t="s">
        <v>47</v>
      </c>
      <c r="B11" s="21"/>
      <c r="C11" s="22" t="str">
        <f t="shared" si="0"/>
        <v/>
      </c>
      <c r="D11" s="21"/>
      <c r="E11" s="22" t="str">
        <f t="shared" si="1"/>
        <v/>
      </c>
      <c r="F11" s="21"/>
      <c r="G11" s="22" t="str">
        <f t="shared" si="2"/>
        <v/>
      </c>
    </row>
    <row r="12" spans="1:7" ht="18" x14ac:dyDescent="0.2">
      <c r="A12" s="23" t="s">
        <v>48</v>
      </c>
      <c r="B12" s="21"/>
      <c r="C12" s="22" t="str">
        <f t="shared" si="0"/>
        <v/>
      </c>
      <c r="D12" s="21"/>
      <c r="E12" s="22" t="str">
        <f t="shared" si="1"/>
        <v/>
      </c>
      <c r="F12" s="21"/>
      <c r="G12" s="22" t="str">
        <f t="shared" si="2"/>
        <v/>
      </c>
    </row>
    <row r="13" spans="1:7" ht="18" x14ac:dyDescent="0.2">
      <c r="A13" s="20" t="s">
        <v>49</v>
      </c>
      <c r="B13" s="21"/>
      <c r="C13" s="22"/>
      <c r="D13" s="21"/>
      <c r="E13" s="22" t="str">
        <f t="shared" si="1"/>
        <v/>
      </c>
      <c r="F13" s="21"/>
      <c r="G13" s="22" t="str">
        <f t="shared" si="2"/>
        <v/>
      </c>
    </row>
    <row r="14" spans="1:7" ht="19" x14ac:dyDescent="0.25">
      <c r="A14" s="24"/>
      <c r="B14" s="24"/>
      <c r="C14" s="24"/>
      <c r="D14" s="24"/>
      <c r="E14" s="24"/>
      <c r="F14" s="24"/>
      <c r="G14" s="24"/>
    </row>
    <row r="15" spans="1:7" x14ac:dyDescent="0.2">
      <c r="A15" s="18"/>
      <c r="B15" s="18"/>
      <c r="C15" s="18"/>
      <c r="D15" s="18"/>
      <c r="E15" s="18"/>
      <c r="F15" s="18"/>
      <c r="G15" s="18"/>
    </row>
    <row r="16" spans="1:7" x14ac:dyDescent="0.2">
      <c r="A16" s="18"/>
      <c r="B16" s="18"/>
      <c r="C16" s="18"/>
      <c r="D16" s="18"/>
      <c r="E16" s="18"/>
      <c r="F16" s="18"/>
      <c r="G16" s="18"/>
    </row>
    <row r="17" spans="1:7" x14ac:dyDescent="0.2">
      <c r="A17" s="18"/>
      <c r="B17" s="18"/>
      <c r="C17" s="18"/>
      <c r="D17" s="18"/>
      <c r="E17" s="18"/>
      <c r="F17" s="18"/>
      <c r="G17" s="18"/>
    </row>
    <row r="18" spans="1:7" x14ac:dyDescent="0.2">
      <c r="A18" s="18"/>
      <c r="B18" s="18"/>
      <c r="C18" s="18"/>
      <c r="D18" s="18"/>
      <c r="E18" s="18"/>
      <c r="F18" s="18"/>
      <c r="G18" s="18"/>
    </row>
  </sheetData>
  <mergeCells count="5">
    <mergeCell ref="A1:G1"/>
    <mergeCell ref="A2:G2"/>
    <mergeCell ref="A4:B4"/>
    <mergeCell ref="D4:E4"/>
    <mergeCell ref="A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showGridLines="0" tabSelected="1"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21.75" customHeight="1" x14ac:dyDescent="0.2">
      <c r="A1" s="1" t="s">
        <v>50</v>
      </c>
    </row>
    <row r="3" spans="1:1" ht="27.75" customHeight="1" x14ac:dyDescent="0.2">
      <c r="A3" s="2" t="s">
        <v>51</v>
      </c>
    </row>
    <row r="4" spans="1:1" ht="27.75" customHeight="1" x14ac:dyDescent="0.2">
      <c r="A4" s="2" t="s">
        <v>52</v>
      </c>
    </row>
    <row r="5" spans="1:1" ht="27.75" customHeight="1" x14ac:dyDescent="0.2">
      <c r="A5" s="2" t="s">
        <v>53</v>
      </c>
    </row>
    <row r="6" spans="1:1" ht="27.75" customHeight="1" x14ac:dyDescent="0.2">
      <c r="A6" s="2" t="s">
        <v>54</v>
      </c>
    </row>
    <row r="7" spans="1:1" ht="27.75" customHeight="1" x14ac:dyDescent="0.2">
      <c r="A7" s="2" t="s">
        <v>55</v>
      </c>
    </row>
    <row r="8" spans="1:1" ht="27.75" customHeight="1" x14ac:dyDescent="0.2">
      <c r="A8" s="2" t="s">
        <v>56</v>
      </c>
    </row>
    <row r="9" spans="1:1" ht="27.75" customHeight="1" x14ac:dyDescent="0.2">
      <c r="A9" s="2" t="s">
        <v>57</v>
      </c>
    </row>
    <row r="10" spans="1:1" ht="27.75" customHeight="1" x14ac:dyDescent="0.2">
      <c r="A10" s="2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Organigrama</vt:lpstr>
      <vt:lpstr>Dotación</vt:lpstr>
      <vt:lpstr>Instructivo</vt:lpstr>
      <vt:lpstr>Organigrama!Área_de_impresión</vt:lpstr>
      <vt:lpstr>Organigrama!Títulos_a_imprimir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Giménez</cp:lastModifiedBy>
  <cp:revision>0</cp:revision>
  <dcterms:created xsi:type="dcterms:W3CDTF">2026-06-13T13:38:02Z</dcterms:created>
  <dcterms:modified xsi:type="dcterms:W3CDTF">2026-06-16T13:27:18Z</dcterms:modified>
  <dc:language>en-US</dc:language>
</cp:coreProperties>
</file>