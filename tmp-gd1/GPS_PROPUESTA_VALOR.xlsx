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gimeto/Desktop/"/>
    </mc:Choice>
  </mc:AlternateContent>
  <xr:revisionPtr revIDLastSave="0" documentId="13_ncr:1_{7D71A5AB-5A45-1E42-A4A6-CB6B6B38C0D9}" xr6:coauthVersionLast="47" xr6:coauthVersionMax="47" xr10:uidLastSave="{00000000-0000-0000-0000-000000000000}"/>
  <bookViews>
    <workbookView xWindow="0" yWindow="740" windowWidth="30240" windowHeight="18900" tabRatio="500" xr2:uid="{00000000-000D-0000-FFFF-FFFF00000000}"/>
  </bookViews>
  <sheets>
    <sheet name="Diagnóstico" sheetId="1" r:id="rId1"/>
  </sheets>
  <definedNames>
    <definedName name="_xlnm.Print_Area" localSheetId="0">Diagnóstico!$A$1:$F$59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53" i="1" l="1"/>
  <c r="B56" i="1" s="1"/>
  <c r="E50" i="1"/>
  <c r="D50" i="1"/>
  <c r="E49" i="1"/>
  <c r="E48" i="1"/>
  <c r="E47" i="1"/>
  <c r="E46" i="1"/>
  <c r="E43" i="1"/>
  <c r="D43" i="1"/>
  <c r="E42" i="1"/>
  <c r="E41" i="1"/>
  <c r="E40" i="1"/>
  <c r="E39" i="1"/>
  <c r="E38" i="1"/>
  <c r="E35" i="1"/>
  <c r="D35" i="1"/>
  <c r="E34" i="1"/>
  <c r="E33" i="1"/>
  <c r="E32" i="1"/>
  <c r="E31" i="1"/>
  <c r="E28" i="1"/>
  <c r="D28" i="1"/>
  <c r="E27" i="1"/>
  <c r="E26" i="1"/>
  <c r="E25" i="1"/>
  <c r="E24" i="1"/>
  <c r="E23" i="1"/>
  <c r="E20" i="1"/>
  <c r="D20" i="1"/>
  <c r="E19" i="1"/>
  <c r="E18" i="1"/>
  <c r="E17" i="1"/>
  <c r="E16" i="1"/>
  <c r="E15" i="1"/>
  <c r="D55" i="1" l="1"/>
</calcChain>
</file>

<file path=xl/sharedStrings.xml><?xml version="1.0" encoding="utf-8"?>
<sst xmlns="http://schemas.openxmlformats.org/spreadsheetml/2006/main" count="49" uniqueCount="46">
  <si>
    <t>DIAGNÓSTICO DE PROPUESTA DE VALOR  ·  Herramienta de autoevaluación para dueños de restaurantes</t>
  </si>
  <si>
    <t>«Cuando el cliente dice que tu plato está caro, no está reconociendo tu propuesta de valor. Y no la reconoce porque no se la sabés comunicar… o simplemente no la tenés.»</t>
  </si>
  <si>
    <t>CÓMO USAR ESTA PLANILLA</t>
  </si>
  <si>
    <t>1.  Puntuá con honestidad cada indicador de la columna 'Puntaje' (celdas amarillas) del 0 al 5.</t>
  </si>
  <si>
    <t>2.  Escala:  0 = Nulo   ·   1 = Ausente   ·   2 = Deficiente   ·   3 = Básico   ·   4 = Bueno   ·   5 = Excelente.</t>
  </si>
  <si>
    <t>3.  Los subtotales, el porcentaje y el diagnóstico final se calculan solos al completar los puntajes.</t>
  </si>
  <si>
    <t>4.  Mirá el panel de RESULTADO al final y, sobre todo, qué bloque tiene el % más bajo: ahí se fuga tu valor.</t>
  </si>
  <si>
    <t>#</t>
  </si>
  <si>
    <t>INDICADOR</t>
  </si>
  <si>
    <t>PUNTAJE (0-5)</t>
  </si>
  <si>
    <t>ESTADO</t>
  </si>
  <si>
    <t>1. VALOR INTRÍNSECO DEL PLATO / OFERTA</t>
  </si>
  <si>
    <t>El plato tiene un 'porqué' claro: origen, técnica o historia que lo hace único.</t>
  </si>
  <si>
    <t>Ingrediente ancla o diferencial identificable y difícil de replicar en cualquier lado.</t>
  </si>
  <si>
    <t>Consistencia: el plato sale igual en cualquier turno y con cualquier cocinero.</t>
  </si>
  <si>
    <t>Emplatado intencional (altura, color, foco, vajilla coherente con el concepto).</t>
  </si>
  <si>
    <t>Cada plato tiene ficha técnica y costeo real detrás (el valor no se improvisa).</t>
  </si>
  <si>
    <t>Subtotal del bloque  (máx. 25)</t>
  </si>
  <si>
    <t>2. NEUROMARKETING Y COMUNICACIÓN DEL VALOR</t>
  </si>
  <si>
    <t>El menú describe y evoca (sensorial, origen, técnica); no es un simple listado de nombres.</t>
  </si>
  <si>
    <t>Uso de anclaje: un plato premium que hace percibir 'razonables' a los demás.</t>
  </si>
  <si>
    <t>Plato estrella con destaque visual/verbal en la carta (no perdido entre todos).</t>
  </si>
  <si>
    <t>Storytelling de marca presente en los puntos de contacto (carta, redes, salón).</t>
  </si>
  <si>
    <t>3. EXPERIENCIA SENSORIAL Y AMBIENTE</t>
  </si>
  <si>
    <t>Coherencia multisensorial: música, aroma, iluminación y temperatura alineadas al concepto.</t>
  </si>
  <si>
    <t>Higiene impecable en salón y baños (higiene = confianza percibida).</t>
  </si>
  <si>
    <t>Los tiempos de espera se gestionan y se comunican al cliente.</t>
  </si>
  <si>
    <t>La ambientación es coherente con el ticket promedio y el posicionamiento buscado.</t>
  </si>
  <si>
    <t>Subtotal del bloque  (máx. 20)</t>
  </si>
  <si>
    <t>4. SERVICIO Y HOSPITALIDAD</t>
  </si>
  <si>
    <t>El personal conoce y SABE VENDER el valor de cada plato (puede explicar el porqué).</t>
  </si>
  <si>
    <t>Anticipación de necesidades: el equipo resuelve antes de que el cliente pida.</t>
  </si>
  <si>
    <t>Las quejas se manejan como oportunidad de fidelización, no como amenaza.</t>
  </si>
  <si>
    <t>5. COHERENCIA Y POSICIONAMIENTO DE MARCA</t>
  </si>
  <si>
    <t>El precio está alineado con el posicionamiento declarado (coherencia premium/casual).</t>
  </si>
  <si>
    <t>La identidad visual es consistente en todos los puntos de contacto.</t>
  </si>
  <si>
    <t>El dueño puede enunciar su propuesta de valor en UNA sola frase.</t>
  </si>
  <si>
    <t>La promesa de marca se cumple en la experiencia real (lo prometido = lo entregado).</t>
  </si>
  <si>
    <t>RESULTADO DEL DIAGNÓSTICO</t>
  </si>
  <si>
    <t>% DE PROPUESTA DE VALOR</t>
  </si>
  <si>
    <t>NIVEL</t>
  </si>
  <si>
    <t>¿Tu propuesta de valor no llega al 80%? Es exactamente lo que trabajamos en la mentoría GPS Gastronómico.</t>
  </si>
  <si>
    <t>GPS Gastronómico · Gestión · Procesos · Sostenibilidad</t>
  </si>
  <si>
    <t>Protocolo de atendimiento estructurado y entrenado ( paso a paso)</t>
  </si>
  <si>
    <t>Plan de incentivos/premios/bonus para mejor desempeno em ventas</t>
  </si>
  <si>
    <t>precios in el simbolo "$"sin linea de puntos, sin tipografia de color o destaque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</si>
</sst>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1"/>
    </font>
    <font>
      <b/>
      <sz val="16"/>
      <color rgb="FFFFFFFF"/>
      <name val="Arial"/>
      <family val="2"/>
      <charset val="1"/>
    </font>
    <font>
      <b/>
      <i/>
      <sz val="12"/>
      <color rgb="FFFF0000"/>
      <name val="Arial"/>
      <family val="2"/>
      <charset val="1"/>
    </font>
    <font>
      <b/>
      <sz val="14"/>
      <color rgb="FFFFFFFF"/>
      <name val="Arial"/>
      <family val="2"/>
      <charset val="1"/>
    </font>
    <font>
      <sz val="14"/>
      <color rgb="FF0A2540"/>
      <name val="Arial"/>
      <family val="2"/>
      <charset val="1"/>
    </font>
    <font>
      <b/>
      <sz val="10"/>
      <color rgb="FFFFFFFF"/>
      <name val="Arial"/>
      <family val="2"/>
      <charset val="1"/>
    </font>
    <font>
      <b/>
      <sz val="12"/>
      <color rgb="FFFFFFFF"/>
      <name val="Arial"/>
      <family val="2"/>
      <charset val="1"/>
    </font>
    <font>
      <b/>
      <sz val="12"/>
      <color rgb="FF5A6672"/>
      <name val="Arial"/>
      <family val="2"/>
      <charset val="1"/>
    </font>
    <font>
      <sz val="12"/>
      <color rgb="FF0A2540"/>
      <name val="Arial"/>
      <family val="2"/>
      <charset val="1"/>
    </font>
    <font>
      <b/>
      <sz val="12"/>
      <color rgb="FF0A2540"/>
      <name val="Arial"/>
      <family val="2"/>
      <charset val="1"/>
    </font>
    <font>
      <sz val="12"/>
      <color rgb="FF5A6672"/>
      <name val="Arial"/>
      <family val="2"/>
      <charset val="1"/>
    </font>
    <font>
      <b/>
      <sz val="14"/>
      <color rgb="FF0A2540"/>
      <name val="Arial"/>
      <family val="2"/>
      <charset val="1"/>
    </font>
    <font>
      <b/>
      <sz val="12"/>
      <color rgb="FF1A8B8B"/>
      <name val="Arial"/>
      <family val="2"/>
      <charset val="1"/>
    </font>
    <font>
      <sz val="12"/>
      <color theme="1"/>
      <name val="Calibri"/>
      <family val="2"/>
      <charset val="1"/>
    </font>
    <font>
      <b/>
      <sz val="11"/>
      <color rgb="FF0A2540"/>
      <name val="Arial"/>
      <family val="2"/>
      <charset val="1"/>
    </font>
    <font>
      <sz val="9.5"/>
      <color rgb="FF5A6672"/>
      <name val="Arial"/>
      <family val="2"/>
      <charset val="1"/>
    </font>
    <font>
      <b/>
      <sz val="10.5"/>
      <color rgb="FF1A8B8B"/>
      <name val="Arial"/>
      <family val="2"/>
      <charset val="1"/>
    </font>
    <font>
      <sz val="16"/>
      <color rgb="FF0A2540"/>
      <name val="Arial"/>
      <family val="2"/>
      <charset val="1"/>
    </font>
    <font>
      <b/>
      <i/>
      <sz val="14"/>
      <color rgb="FFFF0000"/>
      <name val="Arial"/>
      <family val="2"/>
      <charset val="1"/>
    </font>
    <font>
      <sz val="8"/>
      <color rgb="FF5A6672"/>
      <name val="Arial"/>
      <family val="2"/>
      <charset val="1"/>
    </font>
    <font>
      <b/>
      <sz val="14"/>
      <color rgb="FFFF0000"/>
      <name val="Arial"/>
      <family val="2"/>
      <charset val="1"/>
    </font>
    <font>
      <b/>
      <sz val="16"/>
      <color rgb="FF0A2540"/>
      <name val="Arial"/>
      <family val="2"/>
      <charset val="1"/>
    </font>
    <font>
      <b/>
      <sz val="20"/>
      <color rgb="FFFFFFFF"/>
      <name val="Arial"/>
      <family val="2"/>
      <charset val="1"/>
    </font>
  </fonts>
  <fills count="9">
    <fill>
      <patternFill patternType="none"/>
    </fill>
    <fill>
      <patternFill patternType="gray125"/>
    </fill>
    <fill>
      <patternFill patternType="solid">
        <fgColor rgb="FF0A2540"/>
        <bgColor rgb="FF003300"/>
      </patternFill>
    </fill>
    <fill>
      <patternFill patternType="solid">
        <fgColor rgb="FF1A8B8B"/>
        <bgColor rgb="FF008080"/>
      </patternFill>
    </fill>
    <fill>
      <patternFill patternType="solid">
        <fgColor rgb="FFC9A961"/>
        <bgColor rgb="FFC0C0C0"/>
      </patternFill>
    </fill>
    <fill>
      <patternFill patternType="solid">
        <fgColor rgb="FFF2F4F6"/>
        <bgColor rgb="FFFFFFFF"/>
      </patternFill>
    </fill>
    <fill>
      <patternFill patternType="solid">
        <fgColor rgb="FFFFF6D6"/>
        <bgColor rgb="FFF2F4F6"/>
      </patternFill>
    </fill>
    <fill>
      <patternFill patternType="solid">
        <fgColor rgb="FFFFFF00"/>
        <bgColor rgb="FFFFFF00"/>
      </patternFill>
    </fill>
    <fill>
      <patternFill patternType="solid">
        <fgColor rgb="FFFFFF00"/>
        <bgColor rgb="FFFFFFFF"/>
      </patternFill>
    </fill>
  </fills>
  <borders count="29">
    <border>
      <left/>
      <right/>
      <top/>
      <bottom/>
      <diagonal/>
    </border>
    <border>
      <left style="thin">
        <color rgb="FFD0D5DB"/>
      </left>
      <right style="thin">
        <color rgb="FFD0D5DB"/>
      </right>
      <top style="thin">
        <color rgb="FFD0D5DB"/>
      </top>
      <bottom style="thin">
        <color rgb="FFD0D5DB"/>
      </bottom>
      <diagonal/>
    </border>
    <border>
      <left style="medium">
        <color auto="1"/>
      </left>
      <right style="medium">
        <color auto="1"/>
      </right>
      <top style="medium">
        <color auto="1"/>
      </top>
      <bottom style="medium">
        <color auto="1"/>
      </bottom>
      <diagonal/>
    </border>
    <border>
      <left style="thin">
        <color rgb="FFD0D5DB"/>
      </left>
      <right/>
      <top style="thin">
        <color rgb="FFD0D5DB"/>
      </top>
      <bottom style="thin">
        <color rgb="FFD0D5DB"/>
      </bottom>
      <diagonal/>
    </border>
    <border>
      <left style="thin">
        <color rgb="FFD0D5DB"/>
      </left>
      <right style="thin">
        <color rgb="FFD0D5DB"/>
      </right>
      <top/>
      <bottom style="thin">
        <color rgb="FFD0D5DB"/>
      </bottom>
      <diagonal/>
    </border>
    <border>
      <left style="thin">
        <color indexed="64"/>
      </left>
      <right style="thin">
        <color indexed="64"/>
      </right>
      <top style="thin">
        <color indexed="64"/>
      </top>
      <bottom style="thin">
        <color rgb="FFD0D5DB"/>
      </bottom>
      <diagonal/>
    </border>
    <border>
      <left style="thin">
        <color indexed="64"/>
      </left>
      <right style="thin">
        <color indexed="64"/>
      </right>
      <top style="thin">
        <color rgb="FFD0D5DB"/>
      </top>
      <bottom style="thin">
        <color rgb="FFD0D5DB"/>
      </bottom>
      <diagonal/>
    </border>
    <border>
      <left style="medium">
        <color indexed="64"/>
      </left>
      <right style="thin">
        <color rgb="FFD0D5DB"/>
      </right>
      <top style="medium">
        <color indexed="64"/>
      </top>
      <bottom style="thin">
        <color rgb="FFD0D5DB"/>
      </bottom>
      <diagonal/>
    </border>
    <border>
      <left style="thin">
        <color rgb="FFD0D5DB"/>
      </left>
      <right/>
      <top style="medium">
        <color indexed="64"/>
      </top>
      <bottom style="thin">
        <color rgb="FFD0D5DB"/>
      </bottom>
      <diagonal/>
    </border>
    <border>
      <left style="thin">
        <color indexed="64"/>
      </left>
      <right style="thin">
        <color indexed="64"/>
      </right>
      <top style="medium">
        <color indexed="64"/>
      </top>
      <bottom style="thin">
        <color rgb="FFD0D5DB"/>
      </bottom>
      <diagonal/>
    </border>
    <border>
      <left/>
      <right style="medium">
        <color indexed="64"/>
      </right>
      <top style="medium">
        <color indexed="64"/>
      </top>
      <bottom style="thin">
        <color rgb="FFD0D5DB"/>
      </bottom>
      <diagonal/>
    </border>
    <border>
      <left style="medium">
        <color indexed="64"/>
      </left>
      <right style="thin">
        <color rgb="FFD0D5DB"/>
      </right>
      <top style="thin">
        <color rgb="FFD0D5DB"/>
      </top>
      <bottom style="thin">
        <color rgb="FFD0D5DB"/>
      </bottom>
      <diagonal/>
    </border>
    <border>
      <left/>
      <right style="medium">
        <color indexed="64"/>
      </right>
      <top style="thin">
        <color rgb="FFD0D5DB"/>
      </top>
      <bottom style="thin">
        <color rgb="FFD0D5DB"/>
      </bottom>
      <diagonal/>
    </border>
    <border>
      <left style="medium">
        <color indexed="64"/>
      </left>
      <right style="thin">
        <color rgb="FFD0D5DB"/>
      </right>
      <top style="thin">
        <color rgb="FFD0D5DB"/>
      </top>
      <bottom style="medium">
        <color indexed="64"/>
      </bottom>
      <diagonal/>
    </border>
    <border>
      <left style="thin">
        <color rgb="FFD0D5DB"/>
      </left>
      <right/>
      <top style="thin">
        <color rgb="FFD0D5DB"/>
      </top>
      <bottom style="medium">
        <color indexed="64"/>
      </bottom>
      <diagonal/>
    </border>
    <border>
      <left style="thin">
        <color indexed="64"/>
      </left>
      <right style="thin">
        <color indexed="64"/>
      </right>
      <top style="thin">
        <color rgb="FFD0D5DB"/>
      </top>
      <bottom style="medium">
        <color indexed="64"/>
      </bottom>
      <diagonal/>
    </border>
    <border>
      <left/>
      <right style="medium">
        <color indexed="64"/>
      </right>
      <top style="thin">
        <color rgb="FFD0D5DB"/>
      </top>
      <bottom style="medium">
        <color indexed="64"/>
      </bottom>
      <diagonal/>
    </border>
    <border>
      <left style="thin">
        <color rgb="FFD0D5DB"/>
      </left>
      <right style="thin">
        <color rgb="FFD0D5DB"/>
      </right>
      <top style="thin">
        <color rgb="FFD0D5DB"/>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8">
    <xf numFmtId="0" fontId="0" fillId="0" borderId="0" xfId="0"/>
    <xf numFmtId="0" fontId="17" fillId="5" borderId="2" xfId="0" applyFont="1" applyFill="1" applyBorder="1" applyAlignment="1">
      <alignment horizontal="left" vertical="center" wrapText="1" indent="1"/>
    </xf>
    <xf numFmtId="0" fontId="3" fillId="2" borderId="0" xfId="0" applyFont="1" applyFill="1" applyAlignment="1">
      <alignment horizontal="center" vertical="center"/>
    </xf>
    <xf numFmtId="0" fontId="11" fillId="5" borderId="0" xfId="0" applyFont="1" applyFill="1" applyAlignment="1">
      <alignment horizontal="right" vertical="center" indent="1"/>
    </xf>
    <xf numFmtId="0" fontId="6" fillId="3" borderId="0" xfId="0" applyFont="1" applyFill="1" applyAlignment="1">
      <alignment horizontal="left" vertical="center" indent="1"/>
    </xf>
    <xf numFmtId="0" fontId="3" fillId="2" borderId="0" xfId="0" applyFont="1" applyFill="1" applyAlignment="1">
      <alignment horizontal="left" vertical="center" indent="1"/>
    </xf>
    <xf numFmtId="0" fontId="0" fillId="4" borderId="0" xfId="0" applyFill="1"/>
    <xf numFmtId="0" fontId="1" fillId="3" borderId="0" xfId="0" applyFont="1" applyFill="1" applyAlignment="1">
      <alignment horizontal="left" vertical="center" indent="1"/>
    </xf>
    <xf numFmtId="0" fontId="0" fillId="2" borderId="0" xfId="0" applyFill="1"/>
    <xf numFmtId="0" fontId="5" fillId="2" borderId="1" xfId="0" applyFont="1" applyFill="1" applyBorder="1" applyAlignment="1">
      <alignment horizontal="center" vertical="center" wrapText="1"/>
    </xf>
    <xf numFmtId="0" fontId="13" fillId="0" borderId="0" xfId="0" applyFont="1"/>
    <xf numFmtId="0" fontId="18" fillId="7" borderId="2" xfId="0" applyFont="1" applyFill="1" applyBorder="1" applyAlignment="1">
      <alignment horizontal="center" vertical="center" wrapText="1"/>
    </xf>
    <xf numFmtId="0" fontId="8" fillId="0" borderId="3" xfId="0" applyFont="1" applyBorder="1" applyAlignment="1">
      <alignment horizontal="left" vertical="center" wrapText="1" indent="1"/>
    </xf>
    <xf numFmtId="0" fontId="9" fillId="6" borderId="5" xfId="0" applyFont="1" applyFill="1" applyBorder="1" applyAlignment="1">
      <alignment horizontal="center" vertical="center"/>
    </xf>
    <xf numFmtId="0" fontId="9" fillId="6" borderId="6" xfId="0" applyFont="1" applyFill="1" applyBorder="1" applyAlignment="1">
      <alignment horizontal="center" vertical="center"/>
    </xf>
    <xf numFmtId="0" fontId="20" fillId="8" borderId="4" xfId="0" applyFont="1" applyFill="1" applyBorder="1" applyAlignment="1">
      <alignment horizontal="center" vertical="center"/>
    </xf>
    <xf numFmtId="0" fontId="14" fillId="6" borderId="6" xfId="0" applyFont="1" applyFill="1" applyBorder="1" applyAlignment="1">
      <alignment horizontal="center" vertical="center"/>
    </xf>
    <xf numFmtId="0" fontId="11" fillId="8" borderId="4" xfId="0" applyFont="1" applyFill="1" applyBorder="1" applyAlignment="1">
      <alignment horizontal="center" vertical="center"/>
    </xf>
    <xf numFmtId="0" fontId="21" fillId="5" borderId="0" xfId="0" applyFont="1" applyFill="1" applyAlignment="1">
      <alignment horizontal="right" vertical="center" indent="1"/>
    </xf>
    <xf numFmtId="0" fontId="1" fillId="0" borderId="0" xfId="0" applyFont="1" applyAlignment="1">
      <alignment horizontal="center" vertical="center"/>
    </xf>
    <xf numFmtId="9" fontId="22" fillId="0" borderId="0" xfId="0" applyNumberFormat="1" applyFont="1" applyAlignment="1">
      <alignment horizontal="center" vertical="center"/>
    </xf>
    <xf numFmtId="9" fontId="16" fillId="5" borderId="4" xfId="0" applyNumberFormat="1" applyFont="1" applyFill="1" applyBorder="1" applyAlignment="1">
      <alignment horizontal="center" vertical="center"/>
    </xf>
    <xf numFmtId="0" fontId="7" fillId="0" borderId="7" xfId="0" applyFont="1" applyBorder="1" applyAlignment="1">
      <alignment horizontal="center" vertical="center"/>
    </xf>
    <xf numFmtId="0" fontId="8" fillId="0" borderId="8" xfId="0" applyFont="1" applyBorder="1" applyAlignment="1">
      <alignment horizontal="left" vertical="center" wrapText="1" indent="1"/>
    </xf>
    <xf numFmtId="0" fontId="14" fillId="6" borderId="9" xfId="0" applyFont="1" applyFill="1" applyBorder="1" applyAlignment="1">
      <alignment horizontal="center" vertical="center"/>
    </xf>
    <xf numFmtId="0" fontId="15" fillId="0" borderId="10" xfId="0" applyFont="1" applyBorder="1" applyAlignment="1">
      <alignment horizontal="center" vertical="center"/>
    </xf>
    <xf numFmtId="0" fontId="7" fillId="0" borderId="11" xfId="0" applyFont="1" applyBorder="1" applyAlignment="1">
      <alignment horizontal="center" vertical="center"/>
    </xf>
    <xf numFmtId="0" fontId="15" fillId="0" borderId="12" xfId="0" applyFont="1" applyBorder="1" applyAlignment="1">
      <alignment horizontal="center" vertical="center"/>
    </xf>
    <xf numFmtId="0" fontId="7" fillId="0" borderId="13" xfId="0" applyFont="1" applyBorder="1" applyAlignment="1">
      <alignment horizontal="center" vertical="center"/>
    </xf>
    <xf numFmtId="0" fontId="8" fillId="0" borderId="14" xfId="0" applyFont="1" applyBorder="1" applyAlignment="1">
      <alignment horizontal="left" vertical="center" wrapText="1" indent="1"/>
    </xf>
    <xf numFmtId="0" fontId="14" fillId="6" borderId="15" xfId="0" applyFont="1" applyFill="1" applyBorder="1" applyAlignment="1">
      <alignment horizontal="center" vertical="center"/>
    </xf>
    <xf numFmtId="0" fontId="15" fillId="0" borderId="16" xfId="0" applyFont="1" applyBorder="1" applyAlignment="1">
      <alignment horizontal="center" vertical="center"/>
    </xf>
    <xf numFmtId="0" fontId="5" fillId="2" borderId="17" xfId="0" applyFont="1" applyFill="1" applyBorder="1" applyAlignment="1">
      <alignment horizontal="center" vertical="center" wrapText="1"/>
    </xf>
    <xf numFmtId="9" fontId="12" fillId="5" borderId="4" xfId="0" applyNumberFormat="1" applyFont="1" applyFill="1" applyBorder="1" applyAlignment="1">
      <alignment horizontal="center" vertical="center"/>
    </xf>
    <xf numFmtId="0" fontId="6" fillId="3" borderId="18" xfId="0" applyFont="1" applyFill="1" applyBorder="1" applyAlignment="1">
      <alignment horizontal="left" vertical="center" indent="1"/>
    </xf>
    <xf numFmtId="0" fontId="6" fillId="3" borderId="19" xfId="0" applyFont="1" applyFill="1" applyBorder="1" applyAlignment="1">
      <alignment horizontal="left" vertical="center" indent="1"/>
    </xf>
    <xf numFmtId="0" fontId="6" fillId="3" borderId="20" xfId="0" applyFont="1" applyFill="1" applyBorder="1" applyAlignment="1">
      <alignment horizontal="left" vertical="center" indent="1"/>
    </xf>
    <xf numFmtId="0" fontId="10" fillId="0" borderId="12" xfId="0" applyFont="1" applyBorder="1" applyAlignment="1">
      <alignment horizontal="center" vertical="center"/>
    </xf>
    <xf numFmtId="0" fontId="9" fillId="6" borderId="15" xfId="0" applyFont="1" applyFill="1" applyBorder="1" applyAlignment="1">
      <alignment horizontal="center" vertical="center"/>
    </xf>
    <xf numFmtId="0" fontId="10" fillId="0" borderId="16" xfId="0" applyFont="1" applyBorder="1" applyAlignment="1">
      <alignment horizontal="center" vertical="center"/>
    </xf>
    <xf numFmtId="0" fontId="4" fillId="5" borderId="18" xfId="0" applyFont="1" applyFill="1" applyBorder="1" applyAlignment="1">
      <alignment horizontal="left" vertical="center" wrapText="1" indent="1"/>
    </xf>
    <xf numFmtId="0" fontId="4" fillId="5" borderId="19" xfId="0" applyFont="1" applyFill="1" applyBorder="1" applyAlignment="1">
      <alignment horizontal="left" vertical="center" wrapText="1" indent="1"/>
    </xf>
    <xf numFmtId="0" fontId="4" fillId="5" borderId="20" xfId="0" applyFont="1" applyFill="1" applyBorder="1" applyAlignment="1">
      <alignment horizontal="left" vertical="center" wrapText="1" indent="1"/>
    </xf>
    <xf numFmtId="0" fontId="4" fillId="5" borderId="21" xfId="0" applyFont="1" applyFill="1" applyBorder="1" applyAlignment="1">
      <alignment horizontal="left" vertical="center" wrapText="1" indent="1"/>
    </xf>
    <xf numFmtId="0" fontId="4" fillId="5" borderId="0" xfId="0" applyFont="1" applyFill="1" applyBorder="1" applyAlignment="1">
      <alignment horizontal="left" vertical="center" wrapText="1" indent="1"/>
    </xf>
    <xf numFmtId="0" fontId="4" fillId="5" borderId="22" xfId="0" applyFont="1" applyFill="1" applyBorder="1" applyAlignment="1">
      <alignment horizontal="left" vertical="center" wrapText="1" indent="1"/>
    </xf>
    <xf numFmtId="0" fontId="4" fillId="5" borderId="23" xfId="0" applyFont="1" applyFill="1" applyBorder="1" applyAlignment="1">
      <alignment horizontal="left" vertical="center" wrapText="1" indent="1"/>
    </xf>
    <xf numFmtId="0" fontId="4" fillId="5" borderId="24" xfId="0" applyFont="1" applyFill="1" applyBorder="1" applyAlignment="1">
      <alignment horizontal="left" vertical="center" wrapText="1" indent="1"/>
    </xf>
    <xf numFmtId="0" fontId="4" fillId="5" borderId="25" xfId="0" applyFont="1" applyFill="1" applyBorder="1" applyAlignment="1">
      <alignment horizontal="left" vertical="center" wrapText="1" indent="1"/>
    </xf>
    <xf numFmtId="0" fontId="0" fillId="0" borderId="18" xfId="0" applyBorder="1"/>
    <xf numFmtId="0" fontId="0" fillId="0" borderId="19" xfId="0" applyBorder="1"/>
    <xf numFmtId="0" fontId="0" fillId="0" borderId="20" xfId="0" applyBorder="1"/>
    <xf numFmtId="0" fontId="2" fillId="0" borderId="23" xfId="0" applyFont="1" applyBorder="1" applyAlignment="1">
      <alignment horizontal="left" vertical="center" wrapText="1"/>
    </xf>
    <xf numFmtId="0" fontId="2" fillId="0" borderId="24" xfId="0" applyFont="1" applyBorder="1" applyAlignment="1">
      <alignment horizontal="left" vertical="center" wrapText="1"/>
    </xf>
    <xf numFmtId="0" fontId="2" fillId="0" borderId="25" xfId="0" applyFont="1" applyBorder="1" applyAlignment="1">
      <alignment horizontal="left" vertical="center" wrapText="1"/>
    </xf>
    <xf numFmtId="0" fontId="19" fillId="0" borderId="26" xfId="0" applyFont="1" applyBorder="1" applyAlignment="1">
      <alignment horizontal="center" vertical="center"/>
    </xf>
    <xf numFmtId="0" fontId="19" fillId="0" borderId="27" xfId="0" applyFont="1" applyBorder="1" applyAlignment="1">
      <alignment horizontal="center" vertical="center"/>
    </xf>
    <xf numFmtId="0" fontId="19" fillId="0" borderId="28" xfId="0" applyFont="1" applyBorder="1" applyAlignment="1">
      <alignment horizontal="center" vertical="center"/>
    </xf>
  </cellXfs>
  <cellStyles count="1">
    <cellStyle name="Normal" xfId="0" builtinId="0"/>
  </cellStyles>
  <dxfs count="18">
    <dxf>
      <fill>
        <patternFill>
          <bgColor rgb="FF2E7D32"/>
        </patternFill>
      </fill>
    </dxf>
    <dxf>
      <fill>
        <patternFill>
          <bgColor rgb="FF1A8B8B"/>
        </patternFill>
      </fill>
    </dxf>
    <dxf>
      <fill>
        <patternFill>
          <bgColor rgb="FFE08E0B"/>
        </patternFill>
      </fill>
    </dxf>
    <dxf>
      <fill>
        <patternFill>
          <bgColor rgb="FFC0392B"/>
        </patternFill>
      </fill>
    </dxf>
    <dxf>
      <font>
        <b/>
        <color rgb="FF2E7D32"/>
        <name val="Arial"/>
        <charset val="1"/>
      </font>
    </dxf>
    <dxf>
      <font>
        <b/>
        <color rgb="FFC0392B"/>
        <name val="Arial"/>
        <charset val="1"/>
      </font>
    </dxf>
    <dxf>
      <font>
        <b/>
        <color rgb="FF2E7D32"/>
        <name val="Arial"/>
        <charset val="1"/>
      </font>
    </dxf>
    <dxf>
      <font>
        <b/>
        <color rgb="FFC0392B"/>
        <name val="Arial"/>
        <charset val="1"/>
      </font>
    </dxf>
    <dxf>
      <font>
        <b/>
        <color rgb="FF2E7D32"/>
        <name val="Arial"/>
        <charset val="1"/>
      </font>
    </dxf>
    <dxf>
      <font>
        <b/>
        <color rgb="FFC0392B"/>
        <name val="Arial"/>
        <charset val="1"/>
      </font>
    </dxf>
    <dxf>
      <font>
        <b/>
        <color rgb="FF2E7D32"/>
        <name val="Arial"/>
        <charset val="1"/>
      </font>
    </dxf>
    <dxf>
      <font>
        <b/>
        <color rgb="FFC0392B"/>
        <name val="Arial"/>
        <charset val="1"/>
      </font>
    </dxf>
    <dxf>
      <font>
        <b/>
        <color rgb="FF2E7D32"/>
        <name val="Arial"/>
        <charset val="1"/>
      </font>
    </dxf>
    <dxf>
      <font>
        <b/>
        <color rgb="FFC0392B"/>
        <name val="Arial"/>
        <charset val="1"/>
      </font>
    </dxf>
    <dxf>
      <fill>
        <patternFill>
          <bgColor rgb="FF2E7D32"/>
        </patternFill>
      </fill>
    </dxf>
    <dxf>
      <fill>
        <patternFill>
          <bgColor rgb="FF1A8B8B"/>
        </patternFill>
      </fill>
    </dxf>
    <dxf>
      <fill>
        <patternFill>
          <bgColor rgb="FFE08E0B"/>
        </patternFill>
      </fill>
    </dxf>
    <dxf>
      <fill>
        <patternFill>
          <bgColor rgb="FFC0392B"/>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8B8B"/>
      <rgbColor rgb="FFC0C0C0"/>
      <rgbColor rgb="FF808080"/>
      <rgbColor rgb="FF9999FF"/>
      <rgbColor rgb="FF993366"/>
      <rgbColor rgb="FFFFF6D6"/>
      <rgbColor rgb="FFF2F4F6"/>
      <rgbColor rgb="FF660066"/>
      <rgbColor rgb="FFFF8080"/>
      <rgbColor rgb="FF0066CC"/>
      <rgbColor rgb="FFD0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08E0B"/>
      <rgbColor rgb="FFFF6600"/>
      <rgbColor rgb="FF5A6672"/>
      <rgbColor rgb="FFC9A961"/>
      <rgbColor rgb="FF0A2540"/>
      <rgbColor rgb="FF2E7D32"/>
      <rgbColor rgb="FF003300"/>
      <rgbColor rgb="FF333300"/>
      <rgbColor rgb="FFC0392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1188720</xdr:colOff>
      <xdr:row>0</xdr:row>
      <xdr:rowOff>1108080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76400" y="0"/>
          <a:ext cx="1611720" cy="110808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59"/>
  <sheetViews>
    <sheetView showGridLines="0" tabSelected="1" zoomScale="110" zoomScaleNormal="110" workbookViewId="0">
      <selection activeCell="J52" sqref="J52"/>
    </sheetView>
  </sheetViews>
  <sheetFormatPr baseColWidth="10" defaultColWidth="8.6640625" defaultRowHeight="15" x14ac:dyDescent="0.2"/>
  <cols>
    <col min="1" max="1" width="2.5" customWidth="1"/>
    <col min="2" max="2" width="6" customWidth="1"/>
    <col min="3" max="3" width="74" customWidth="1"/>
    <col min="4" max="4" width="14" customWidth="1"/>
    <col min="5" max="5" width="48.6640625" customWidth="1"/>
    <col min="6" max="6" width="2.5" customWidth="1"/>
  </cols>
  <sheetData>
    <row r="1" spans="1:5" ht="99.75" customHeight="1" x14ac:dyDescent="0.2">
      <c r="B1" s="8"/>
      <c r="C1" s="8"/>
      <c r="D1" s="8"/>
      <c r="E1" s="8"/>
    </row>
    <row r="2" spans="1:5" ht="19.5" customHeight="1" x14ac:dyDescent="0.2">
      <c r="B2" s="7" t="s">
        <v>0</v>
      </c>
      <c r="C2" s="7"/>
      <c r="D2" s="7"/>
      <c r="E2" s="7"/>
    </row>
    <row r="3" spans="1:5" ht="31.5" customHeight="1" thickBot="1" x14ac:dyDescent="0.25">
      <c r="B3" s="6"/>
      <c r="C3" s="6"/>
      <c r="D3" s="6"/>
      <c r="E3" s="6"/>
    </row>
    <row r="4" spans="1:5" x14ac:dyDescent="0.2">
      <c r="B4" s="49"/>
      <c r="C4" s="50"/>
      <c r="D4" s="50"/>
      <c r="E4" s="51"/>
    </row>
    <row r="5" spans="1:5" ht="42" customHeight="1" thickBot="1" x14ac:dyDescent="0.25">
      <c r="B5" s="52" t="s">
        <v>1</v>
      </c>
      <c r="C5" s="53"/>
      <c r="D5" s="53"/>
      <c r="E5" s="54"/>
    </row>
    <row r="7" spans="1:5" ht="37.5" customHeight="1" thickBot="1" x14ac:dyDescent="0.25">
      <c r="B7" s="5" t="s">
        <v>2</v>
      </c>
      <c r="C7" s="5"/>
      <c r="D7" s="5"/>
      <c r="E7" s="5"/>
    </row>
    <row r="8" spans="1:5" ht="15.75" customHeight="1" x14ac:dyDescent="0.2">
      <c r="B8" s="40" t="s">
        <v>3</v>
      </c>
      <c r="C8" s="41"/>
      <c r="D8" s="41"/>
      <c r="E8" s="42"/>
    </row>
    <row r="9" spans="1:5" ht="15.75" customHeight="1" x14ac:dyDescent="0.2">
      <c r="B9" s="43" t="s">
        <v>4</v>
      </c>
      <c r="C9" s="44"/>
      <c r="D9" s="44"/>
      <c r="E9" s="45"/>
    </row>
    <row r="10" spans="1:5" ht="15.75" customHeight="1" x14ac:dyDescent="0.2">
      <c r="B10" s="43" t="s">
        <v>5</v>
      </c>
      <c r="C10" s="44"/>
      <c r="D10" s="44"/>
      <c r="E10" s="45"/>
    </row>
    <row r="11" spans="1:5" ht="27" customHeight="1" thickBot="1" x14ac:dyDescent="0.25">
      <c r="B11" s="46" t="s">
        <v>6</v>
      </c>
      <c r="C11" s="47"/>
      <c r="D11" s="47"/>
      <c r="E11" s="48"/>
    </row>
    <row r="13" spans="1:5" ht="37.5" customHeight="1" thickBot="1" x14ac:dyDescent="0.25">
      <c r="A13" s="9"/>
      <c r="B13" s="32" t="s">
        <v>7</v>
      </c>
      <c r="C13" s="32" t="s">
        <v>8</v>
      </c>
      <c r="D13" s="32" t="s">
        <v>9</v>
      </c>
      <c r="E13" s="32" t="s">
        <v>10</v>
      </c>
    </row>
    <row r="14" spans="1:5" ht="28.5" customHeight="1" x14ac:dyDescent="0.2">
      <c r="B14" s="34" t="s">
        <v>11</v>
      </c>
      <c r="C14" s="35"/>
      <c r="D14" s="35"/>
      <c r="E14" s="36"/>
    </row>
    <row r="15" spans="1:5" ht="30" customHeight="1" x14ac:dyDescent="0.2">
      <c r="B15" s="26">
        <v>1</v>
      </c>
      <c r="C15" s="12" t="s">
        <v>12</v>
      </c>
      <c r="D15" s="13">
        <v>2</v>
      </c>
      <c r="E15" s="37" t="str">
        <f>IF(D15="","",IF(D15=0,"Nulo",IF(D15=1,"Ausente",IF(D15=2,"Deficiente",IF(D15=3,"Básico",IF(D15=4,"Bueno","Excelente"))))))</f>
        <v>Deficiente</v>
      </c>
    </row>
    <row r="16" spans="1:5" ht="30" customHeight="1" x14ac:dyDescent="0.2">
      <c r="B16" s="26">
        <v>2</v>
      </c>
      <c r="C16" s="12" t="s">
        <v>13</v>
      </c>
      <c r="D16" s="14">
        <v>5</v>
      </c>
      <c r="E16" s="37" t="str">
        <f>IF(D16="","",IF(D16=0,"Nulo",IF(D16=1,"Ausente",IF(D16=2,"Deficiente",IF(D16=3,"Básico",IF(D16=4,"Bueno","Excelente"))))))</f>
        <v>Excelente</v>
      </c>
    </row>
    <row r="17" spans="2:5" ht="30" customHeight="1" x14ac:dyDescent="0.2">
      <c r="B17" s="26">
        <v>3</v>
      </c>
      <c r="C17" s="12" t="s">
        <v>14</v>
      </c>
      <c r="D17" s="14">
        <v>3</v>
      </c>
      <c r="E17" s="37" t="str">
        <f>IF(D17="","",IF(D17=0,"Nulo",IF(D17=1,"Ausente",IF(D17=2,"Deficiente",IF(D17=3,"Básico",IF(D17=4,"Bueno","Excelente"))))))</f>
        <v>Básico</v>
      </c>
    </row>
    <row r="18" spans="2:5" ht="30" customHeight="1" x14ac:dyDescent="0.2">
      <c r="B18" s="26">
        <v>4</v>
      </c>
      <c r="C18" s="12" t="s">
        <v>15</v>
      </c>
      <c r="D18" s="14">
        <v>1</v>
      </c>
      <c r="E18" s="37" t="str">
        <f>IF(D18="","",IF(D18=0,"Nulo",IF(D18=1,"Ausente",IF(D18=2,"Deficiente",IF(D18=3,"Básico",IF(D18=4,"Bueno","Excelente"))))))</f>
        <v>Ausente</v>
      </c>
    </row>
    <row r="19" spans="2:5" ht="30" customHeight="1" thickBot="1" x14ac:dyDescent="0.25">
      <c r="B19" s="28">
        <v>5</v>
      </c>
      <c r="C19" s="29" t="s">
        <v>16</v>
      </c>
      <c r="D19" s="38">
        <v>1</v>
      </c>
      <c r="E19" s="39" t="str">
        <f>IF(D19="","",IF(D19=0,"Nulo",IF(D19=1,"Ausente",IF(D19=2,"Deficiente",IF(D19=3,"Básico",IF(D19=4,"Bueno","Excelente"))))))</f>
        <v>Ausente</v>
      </c>
    </row>
    <row r="20" spans="2:5" ht="18" customHeight="1" x14ac:dyDescent="0.2">
      <c r="B20" s="3" t="s">
        <v>17</v>
      </c>
      <c r="C20" s="3"/>
      <c r="D20" s="15">
        <f>SUM(D15:D19)</f>
        <v>12</v>
      </c>
      <c r="E20" s="33">
        <f>IFERROR(SUM(D15:D19)/(25),"")</f>
        <v>0.48</v>
      </c>
    </row>
    <row r="21" spans="2:5" ht="16" x14ac:dyDescent="0.2">
      <c r="B21" s="10"/>
      <c r="C21" s="10"/>
      <c r="D21" s="10"/>
      <c r="E21" s="10"/>
    </row>
    <row r="22" spans="2:5" ht="33.75" customHeight="1" thickBot="1" x14ac:dyDescent="0.25">
      <c r="B22" s="4" t="s">
        <v>18</v>
      </c>
      <c r="C22" s="4"/>
      <c r="D22" s="4"/>
      <c r="E22" s="4"/>
    </row>
    <row r="23" spans="2:5" ht="30" customHeight="1" x14ac:dyDescent="0.2">
      <c r="B23" s="22">
        <v>6</v>
      </c>
      <c r="C23" s="23" t="s">
        <v>19</v>
      </c>
      <c r="D23" s="24">
        <v>1</v>
      </c>
      <c r="E23" s="25" t="str">
        <f>IF(D23="","",IF(D23=0,"Nulo",IF(D23=1,"Ausente",IF(D23=2,"Deficiente",IF(D23=3,"Básico",IF(D23=4,"Bueno","Excelente"))))))</f>
        <v>Ausente</v>
      </c>
    </row>
    <row r="24" spans="2:5" ht="30" customHeight="1" x14ac:dyDescent="0.2">
      <c r="B24" s="26">
        <v>7</v>
      </c>
      <c r="C24" s="12" t="s">
        <v>45</v>
      </c>
      <c r="D24" s="16">
        <v>1</v>
      </c>
      <c r="E24" s="27" t="str">
        <f>IF(D24="","",IF(D24=0,"Nulo",IF(D24=1,"Ausente",IF(D24=2,"Deficiente",IF(D24=3,"Básico",IF(D24=4,"Bueno","Excelente"))))))</f>
        <v>Ausente</v>
      </c>
    </row>
    <row r="25" spans="2:5" ht="30" customHeight="1" x14ac:dyDescent="0.2">
      <c r="B25" s="26">
        <v>8</v>
      </c>
      <c r="C25" s="12" t="s">
        <v>20</v>
      </c>
      <c r="D25" s="16">
        <v>1</v>
      </c>
      <c r="E25" s="27" t="str">
        <f>IF(D25="","",IF(D25=0,"Nulo",IF(D25=1,"Ausente",IF(D25=2,"Deficiente",IF(D25=3,"Básico",IF(D25=4,"Bueno","Excelente"))))))</f>
        <v>Ausente</v>
      </c>
    </row>
    <row r="26" spans="2:5" ht="30" customHeight="1" x14ac:dyDescent="0.2">
      <c r="B26" s="26">
        <v>9</v>
      </c>
      <c r="C26" s="12" t="s">
        <v>21</v>
      </c>
      <c r="D26" s="16"/>
      <c r="E26" s="27" t="str">
        <f>IF(D26="","",IF(D26=0,"Nulo",IF(D26=1,"Ausente",IF(D26=2,"Deficiente",IF(D26=3,"Básico",IF(D26=4,"Bueno","Excelente"))))))</f>
        <v/>
      </c>
    </row>
    <row r="27" spans="2:5" ht="30" customHeight="1" thickBot="1" x14ac:dyDescent="0.25">
      <c r="B27" s="28">
        <v>10</v>
      </c>
      <c r="C27" s="29" t="s">
        <v>22</v>
      </c>
      <c r="D27" s="30"/>
      <c r="E27" s="31" t="str">
        <f>IF(D27="","",IF(D27=0,"Nulo",IF(D27=1,"Ausente",IF(D27=2,"Deficiente",IF(D27=3,"Básico",IF(D27=4,"Bueno","Excelente"))))))</f>
        <v/>
      </c>
    </row>
    <row r="28" spans="2:5" ht="18" customHeight="1" x14ac:dyDescent="0.2">
      <c r="B28" s="3" t="s">
        <v>17</v>
      </c>
      <c r="C28" s="3"/>
      <c r="D28" s="15">
        <f>SUM(D23:D27)</f>
        <v>3</v>
      </c>
      <c r="E28" s="21">
        <f>IFERROR(SUM(D23:D27)/(25),"")</f>
        <v>0.12</v>
      </c>
    </row>
    <row r="30" spans="2:5" ht="30" customHeight="1" thickBot="1" x14ac:dyDescent="0.25">
      <c r="B30" s="4" t="s">
        <v>23</v>
      </c>
      <c r="C30" s="4"/>
      <c r="D30" s="4"/>
      <c r="E30" s="4"/>
    </row>
    <row r="31" spans="2:5" ht="30" customHeight="1" x14ac:dyDescent="0.2">
      <c r="B31" s="22">
        <v>11</v>
      </c>
      <c r="C31" s="23" t="s">
        <v>24</v>
      </c>
      <c r="D31" s="24"/>
      <c r="E31" s="25" t="str">
        <f>IF(D31="","",IF(D31=0,"Nulo",IF(D31=1,"Ausente",IF(D31=2,"Deficiente",IF(D31=3,"Básico",IF(D31=4,"Bueno","Excelente"))))))</f>
        <v/>
      </c>
    </row>
    <row r="32" spans="2:5" ht="30" customHeight="1" x14ac:dyDescent="0.2">
      <c r="B32" s="26">
        <v>12</v>
      </c>
      <c r="C32" s="12" t="s">
        <v>25</v>
      </c>
      <c r="D32" s="16"/>
      <c r="E32" s="27" t="str">
        <f>IF(D32="","",IF(D32=0,"Nulo",IF(D32=1,"Ausente",IF(D32=2,"Deficiente",IF(D32=3,"Básico",IF(D32=4,"Bueno","Excelente"))))))</f>
        <v/>
      </c>
    </row>
    <row r="33" spans="2:5" ht="30" customHeight="1" x14ac:dyDescent="0.2">
      <c r="B33" s="26">
        <v>13</v>
      </c>
      <c r="C33" s="12" t="s">
        <v>26</v>
      </c>
      <c r="D33" s="16"/>
      <c r="E33" s="27" t="str">
        <f>IF(D33="","",IF(D33=0,"Nulo",IF(D33=1,"Ausente",IF(D33=2,"Deficiente",IF(D33=3,"Básico",IF(D33=4,"Bueno","Excelente"))))))</f>
        <v/>
      </c>
    </row>
    <row r="34" spans="2:5" ht="30" customHeight="1" thickBot="1" x14ac:dyDescent="0.25">
      <c r="B34" s="28">
        <v>14</v>
      </c>
      <c r="C34" s="29" t="s">
        <v>27</v>
      </c>
      <c r="D34" s="30"/>
      <c r="E34" s="31" t="str">
        <f>IF(D34="","",IF(D34=0,"Nulo",IF(D34=1,"Ausente",IF(D34=2,"Deficiente",IF(D34=3,"Básico",IF(D34=4,"Bueno","Excelente"))))))</f>
        <v/>
      </c>
    </row>
    <row r="35" spans="2:5" ht="18" customHeight="1" x14ac:dyDescent="0.2">
      <c r="B35" s="3" t="s">
        <v>28</v>
      </c>
      <c r="C35" s="3"/>
      <c r="D35" s="15">
        <f>SUM(D31:D34)</f>
        <v>0</v>
      </c>
      <c r="E35" s="21">
        <f>IFERROR(SUM(D31:D34)/(20),"")</f>
        <v>0</v>
      </c>
    </row>
    <row r="37" spans="2:5" ht="31.5" customHeight="1" thickBot="1" x14ac:dyDescent="0.25">
      <c r="B37" s="4" t="s">
        <v>29</v>
      </c>
      <c r="C37" s="4"/>
      <c r="D37" s="4"/>
      <c r="E37" s="4"/>
    </row>
    <row r="38" spans="2:5" ht="30" customHeight="1" x14ac:dyDescent="0.2">
      <c r="B38" s="22">
        <v>15</v>
      </c>
      <c r="C38" s="23" t="s">
        <v>43</v>
      </c>
      <c r="D38" s="24"/>
      <c r="E38" s="25" t="str">
        <f>IF(D38="","",IF(D38=0,"Nulo",IF(D38=1,"Ausente",IF(D38=2,"Deficiente",IF(D38=3,"Básico",IF(D38=4,"Bueno","Excelente"))))))</f>
        <v/>
      </c>
    </row>
    <row r="39" spans="2:5" ht="30" customHeight="1" x14ac:dyDescent="0.2">
      <c r="B39" s="26">
        <v>16</v>
      </c>
      <c r="C39" s="12" t="s">
        <v>30</v>
      </c>
      <c r="D39" s="16"/>
      <c r="E39" s="27" t="str">
        <f>IF(D39="","",IF(D39=0,"Nulo",IF(D39=1,"Ausente",IF(D39=2,"Deficiente",IF(D39=3,"Básico",IF(D39=4,"Bueno","Excelente"))))))</f>
        <v/>
      </c>
    </row>
    <row r="40" spans="2:5" ht="30" customHeight="1" x14ac:dyDescent="0.2">
      <c r="B40" s="26">
        <v>17</v>
      </c>
      <c r="C40" s="12" t="s">
        <v>31</v>
      </c>
      <c r="D40" s="16"/>
      <c r="E40" s="27" t="str">
        <f>IF(D40="","",IF(D40=0,"Nulo",IF(D40=1,"Ausente",IF(D40=2,"Deficiente",IF(D40=3,"Básico",IF(D40=4,"Bueno","Excelente"))))))</f>
        <v/>
      </c>
    </row>
    <row r="41" spans="2:5" ht="30" customHeight="1" x14ac:dyDescent="0.2">
      <c r="B41" s="26">
        <v>18</v>
      </c>
      <c r="C41" s="12" t="s">
        <v>32</v>
      </c>
      <c r="D41" s="16"/>
      <c r="E41" s="27" t="str">
        <f>IF(D41="","",IF(D41=0,"Nulo",IF(D41=1,"Ausente",IF(D41=2,"Deficiente",IF(D41=3,"Básico",IF(D41=4,"Bueno","Excelente"))))))</f>
        <v/>
      </c>
    </row>
    <row r="42" spans="2:5" ht="30" customHeight="1" thickBot="1" x14ac:dyDescent="0.25">
      <c r="B42" s="28">
        <v>19</v>
      </c>
      <c r="C42" s="29" t="s">
        <v>44</v>
      </c>
      <c r="D42" s="30"/>
      <c r="E42" s="31" t="str">
        <f>IF(D42="","",IF(D42=0,"Nulo",IF(D42=1,"Ausente",IF(D42=2,"Deficiente",IF(D42=3,"Básico",IF(D42=4,"Bueno","Excelente"))))))</f>
        <v/>
      </c>
    </row>
    <row r="43" spans="2:5" ht="18" customHeight="1" x14ac:dyDescent="0.2">
      <c r="B43" s="3" t="s">
        <v>17</v>
      </c>
      <c r="C43" s="3"/>
      <c r="D43" s="15">
        <f>SUM(D38:D42)</f>
        <v>0</v>
      </c>
      <c r="E43" s="21">
        <f>IFERROR(SUM(D38:D42)/(25),"")</f>
        <v>0</v>
      </c>
    </row>
    <row r="45" spans="2:5" ht="31.5" customHeight="1" thickBot="1" x14ac:dyDescent="0.25">
      <c r="B45" s="4" t="s">
        <v>33</v>
      </c>
      <c r="C45" s="4"/>
      <c r="D45" s="4"/>
      <c r="E45" s="4"/>
    </row>
    <row r="46" spans="2:5" ht="30" customHeight="1" x14ac:dyDescent="0.2">
      <c r="B46" s="22">
        <v>20</v>
      </c>
      <c r="C46" s="23" t="s">
        <v>34</v>
      </c>
      <c r="D46" s="24"/>
      <c r="E46" s="25" t="str">
        <f>IF(D46="","",IF(D46=0,"Nulo",IF(D46=1,"Ausente",IF(D46=2,"Deficiente",IF(D46=3,"Básico",IF(D46=4,"Bueno","Excelente"))))))</f>
        <v/>
      </c>
    </row>
    <row r="47" spans="2:5" ht="30" customHeight="1" x14ac:dyDescent="0.2">
      <c r="B47" s="26">
        <v>21</v>
      </c>
      <c r="C47" s="12" t="s">
        <v>35</v>
      </c>
      <c r="D47" s="16"/>
      <c r="E47" s="27" t="str">
        <f>IF(D47="","",IF(D47=0,"Nulo",IF(D47=1,"Ausente",IF(D47=2,"Deficiente",IF(D47=3,"Básico",IF(D47=4,"Bueno","Excelente"))))))</f>
        <v/>
      </c>
    </row>
    <row r="48" spans="2:5" ht="30" customHeight="1" x14ac:dyDescent="0.2">
      <c r="B48" s="26">
        <v>22</v>
      </c>
      <c r="C48" s="12" t="s">
        <v>36</v>
      </c>
      <c r="D48" s="16"/>
      <c r="E48" s="27" t="str">
        <f>IF(D48="","",IF(D48=0,"Nulo",IF(D48=1,"Ausente",IF(D48=2,"Deficiente",IF(D48=3,"Básico",IF(D48=4,"Bueno","Excelente"))))))</f>
        <v/>
      </c>
    </row>
    <row r="49" spans="2:5" ht="30" customHeight="1" thickBot="1" x14ac:dyDescent="0.25">
      <c r="B49" s="28">
        <v>23</v>
      </c>
      <c r="C49" s="29" t="s">
        <v>37</v>
      </c>
      <c r="D49" s="30"/>
      <c r="E49" s="31" t="str">
        <f>IF(D49="","",IF(D49=0,"Nulo",IF(D49=1,"Ausente",IF(D49=2,"Deficiente",IF(D49=3,"Básico",IF(D49=4,"Bueno","Excelente"))))))</f>
        <v/>
      </c>
    </row>
    <row r="50" spans="2:5" ht="18" customHeight="1" x14ac:dyDescent="0.2">
      <c r="B50" s="3" t="s">
        <v>28</v>
      </c>
      <c r="C50" s="3"/>
      <c r="D50" s="17">
        <f>SUM(D46:D49)</f>
        <v>0</v>
      </c>
      <c r="E50" s="21">
        <f>IFERROR(SUM(D46:D49)/(20),"")</f>
        <v>0</v>
      </c>
    </row>
    <row r="52" spans="2:5" ht="37.5" customHeight="1" x14ac:dyDescent="0.2">
      <c r="B52" s="2" t="s">
        <v>38</v>
      </c>
      <c r="C52" s="2"/>
      <c r="D52" s="2"/>
      <c r="E52" s="2"/>
    </row>
    <row r="53" spans="2:5" ht="41" customHeight="1" x14ac:dyDescent="0.2">
      <c r="B53" s="18" t="s">
        <v>39</v>
      </c>
      <c r="C53" s="18"/>
      <c r="D53" s="20">
        <f>IFERROR(SUM(D15,D16,D17,D18,D19,D23,D24,D25,D26,D27,D31,D32,D33,D34,D38,D39,D40,D41,D42,D46,D47,D48,D49)/115,0)</f>
        <v>0.13043478260869565</v>
      </c>
      <c r="E53" s="20"/>
    </row>
    <row r="55" spans="2:5" ht="25.5" customHeight="1" x14ac:dyDescent="0.2">
      <c r="B55" s="18" t="s">
        <v>40</v>
      </c>
      <c r="C55" s="18"/>
      <c r="D55" s="19" t="str">
        <f>IF(COUNT(D15,D16,D17,D18,D19,D23,D24,D25,D26,D27,D31,D32,D33,D34,D38,D39,D40,D41,D42,D46,D47,D48,D49)=0,"— Completá los puntajes —",IF(D53&lt;0.4,"CRÍTICO",IF(D53&lt;0.6,"EN RIESGO",IF(D53&lt;0.8,"SÓLIDA PERO SUBCOMUNICADA","PROPUESTA DE VALOR FUERTE"))))</f>
        <v>CRÍTICO</v>
      </c>
      <c r="E55" s="19"/>
    </row>
    <row r="56" spans="2:5" ht="69.75" customHeight="1" x14ac:dyDescent="0.2">
      <c r="B56" s="1" t="str">
        <f>IF(COUNT(D15,D16,D17,D18,D19,D23,D24,D25,D26,D27,D31,D32,D33,D34,D38,D39,D40,D41,D42,D46,D47,D48,D49)=0,"Completá los 23 indicadores para obtener tu diagnóstico.",IF(D53&lt;0.4,"CRÍTICO. Hoy no tenés una propuesta de valor construida o es invisible para el cliente. El caro es un síntoma, no la causa: te están comparando solo por precio. Prioridad urgente: definir tu diferencial y hacerlo tangible.",IF(D53&lt;0.6,"EN RIESGO. Tenés piezas de valor sueltas, pero sin sistema ni comunicación consistente. El cliente percibe parte del valor, no todo. Estás dejando margen sobre la mesa por no comunicar lo que ya hacés bien.",IF(D53&lt;0.8,"SÓLIDA PERO SUBCOMUNICADA. Tu producto y tu servicio valen: el problema es que no lo estás comunicando ni monetizando a la altura. Acá el trabajo es de neuromarketing y consistencia, no de bajar precios.","PROPUESTA DE VALOR FUERTE. Construiste y comunicás valor real. El precio se justifica solo. El foco ahora es escalar y sostener la consistencia sin perder identidad."))))</f>
        <v>CRÍTICO. Hoy no tenés una propuesta de valor construida o es invisible para el cliente. El caro es un síntoma, no la causa: te están comparando solo por precio. Prioridad urgente: definir tu diferencial y hacerlo tangible.</v>
      </c>
      <c r="C56" s="1"/>
      <c r="D56" s="1"/>
      <c r="E56" s="1"/>
    </row>
    <row r="58" spans="2:5" ht="25.5" customHeight="1" thickBot="1" x14ac:dyDescent="0.25">
      <c r="B58" s="11" t="s">
        <v>41</v>
      </c>
      <c r="C58" s="11"/>
      <c r="D58" s="11"/>
      <c r="E58" s="11"/>
    </row>
    <row r="59" spans="2:5" ht="16" thickBot="1" x14ac:dyDescent="0.25">
      <c r="B59" s="55" t="s">
        <v>42</v>
      </c>
      <c r="C59" s="56"/>
      <c r="D59" s="56"/>
      <c r="E59" s="57"/>
    </row>
  </sheetData>
  <mergeCells count="27">
    <mergeCell ref="B56:E56"/>
    <mergeCell ref="B58:E58"/>
    <mergeCell ref="B59:E59"/>
    <mergeCell ref="B53:C53"/>
    <mergeCell ref="D53:E53"/>
    <mergeCell ref="B55:C55"/>
    <mergeCell ref="D55:E55"/>
    <mergeCell ref="B37:E37"/>
    <mergeCell ref="B43:C43"/>
    <mergeCell ref="B45:E45"/>
    <mergeCell ref="B50:C50"/>
    <mergeCell ref="B52:E52"/>
    <mergeCell ref="B20:C20"/>
    <mergeCell ref="B22:E22"/>
    <mergeCell ref="B28:C28"/>
    <mergeCell ref="B30:E30"/>
    <mergeCell ref="B35:C35"/>
    <mergeCell ref="B8:E8"/>
    <mergeCell ref="B9:E9"/>
    <mergeCell ref="B10:E10"/>
    <mergeCell ref="B11:E11"/>
    <mergeCell ref="B14:E14"/>
    <mergeCell ref="B1:E1"/>
    <mergeCell ref="B2:E2"/>
    <mergeCell ref="B3:E3"/>
    <mergeCell ref="B5:E5"/>
    <mergeCell ref="B7:E7"/>
  </mergeCells>
  <conditionalFormatting sqref="D53">
    <cfRule type="cellIs" dxfId="17" priority="2" operator="lessThan">
      <formula>0.4</formula>
    </cfRule>
    <cfRule type="cellIs" dxfId="16" priority="3" operator="between">
      <formula>0.4</formula>
      <formula>0.5999999</formula>
    </cfRule>
    <cfRule type="cellIs" dxfId="15" priority="4" operator="between">
      <formula>0.6</formula>
      <formula>0.7999999</formula>
    </cfRule>
    <cfRule type="cellIs" dxfId="14" priority="5" operator="greaterThanOrEqual">
      <formula>0.8</formula>
    </cfRule>
  </conditionalFormatting>
  <conditionalFormatting sqref="E20">
    <cfRule type="cellIs" dxfId="13" priority="10" operator="lessThan">
      <formula>0.6</formula>
    </cfRule>
    <cfRule type="cellIs" dxfId="12" priority="11" operator="greaterThanOrEqual">
      <formula>0.8</formula>
    </cfRule>
  </conditionalFormatting>
  <conditionalFormatting sqref="E28">
    <cfRule type="cellIs" dxfId="11" priority="12" operator="lessThan">
      <formula>0.6</formula>
    </cfRule>
    <cfRule type="cellIs" dxfId="10" priority="13" operator="greaterThanOrEqual">
      <formula>0.8</formula>
    </cfRule>
  </conditionalFormatting>
  <conditionalFormatting sqref="E35">
    <cfRule type="cellIs" dxfId="9" priority="14" operator="lessThan">
      <formula>0.6</formula>
    </cfRule>
    <cfRule type="cellIs" dxfId="8" priority="15" operator="greaterThanOrEqual">
      <formula>0.8</formula>
    </cfRule>
  </conditionalFormatting>
  <conditionalFormatting sqref="E43">
    <cfRule type="cellIs" dxfId="7" priority="16" operator="lessThan">
      <formula>0.6</formula>
    </cfRule>
    <cfRule type="cellIs" dxfId="6" priority="17" operator="greaterThanOrEqual">
      <formula>0.8</formula>
    </cfRule>
  </conditionalFormatting>
  <conditionalFormatting sqref="E50">
    <cfRule type="cellIs" dxfId="5" priority="18" operator="lessThan">
      <formula>0.6</formula>
    </cfRule>
    <cfRule type="cellIs" dxfId="4" priority="19" operator="greaterThanOrEqual">
      <formula>0.8</formula>
    </cfRule>
  </conditionalFormatting>
  <conditionalFormatting sqref="D55">
    <cfRule type="expression" dxfId="3" priority="20">
      <formula>$D$53&lt;0.4</formula>
    </cfRule>
    <cfRule type="expression" dxfId="2" priority="21">
      <formula>AND($D$53&gt;=0.4,$D$53&lt;0.6)</formula>
    </cfRule>
    <cfRule type="expression" dxfId="1" priority="22">
      <formula>AND($D$53&gt;=0.6,$D$53&lt;0.8)</formula>
    </cfRule>
    <cfRule type="expression" dxfId="0" priority="23">
      <formula>$D$53&gt;=0.8</formula>
    </cfRule>
  </conditionalFormatting>
  <dataValidations count="1">
    <dataValidation type="whole" allowBlank="1" showErrorMessage="1" errorTitle="Valor inválido" error="Ingresá un número entero del 0 al 5." promptTitle="Escala 0-5" prompt="Puntuá de 0 (Nulo) a 5 (Excelente)." sqref="D15:D19 D23:D27 D31:D34 D38:D42 D46:D49" xr:uid="{00000000-0002-0000-0000-000000000000}">
      <formula1>0</formula1>
      <formula2>5</formula2>
    </dataValidation>
  </dataValidations>
  <pageMargins left="0.75" right="0.75" top="1" bottom="1" header="0.511811023622047" footer="0.511811023622047"/>
  <pageSetup fitToHeight="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Diagnóstico</vt:lpstr>
      <vt:lpstr>Diagnóstico!Área_de_impresión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 Giménez</cp:lastModifiedBy>
  <cp:revision>0</cp:revision>
  <dcterms:created xsi:type="dcterms:W3CDTF">2026-07-11T19:04:08Z</dcterms:created>
  <dcterms:modified xsi:type="dcterms:W3CDTF">2026-07-14T16:36:34Z</dcterms:modified>
  <dc:language>en-US</dc:language>
</cp:coreProperties>
</file>