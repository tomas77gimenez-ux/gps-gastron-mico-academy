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FACC4CE9-A831-6743-A9FE-337E424C2EE5}" xr6:coauthVersionLast="47" xr6:coauthVersionMax="47" xr10:uidLastSave="{00000000-0000-0000-0000-000000000000}"/>
  <bookViews>
    <workbookView xWindow="0" yWindow="760" windowWidth="30240" windowHeight="17640" tabRatio="500" xr2:uid="{00000000-000D-0000-FFFF-FFFF00000000}"/>
  </bookViews>
  <sheets>
    <sheet name="Checklist Cocina" sheetId="1" r:id="rId1"/>
    <sheet name="Bandas y Resume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  <c r="B17" i="2"/>
  <c r="D17" i="2" s="1"/>
  <c r="C16" i="2"/>
  <c r="B16" i="2"/>
  <c r="D16" i="2" s="1"/>
  <c r="C15" i="2"/>
  <c r="D15" i="2" s="1"/>
  <c r="B15" i="2"/>
  <c r="C14" i="2"/>
  <c r="B14" i="2"/>
  <c r="D14" i="2" s="1"/>
  <c r="C13" i="2"/>
  <c r="B13" i="2"/>
  <c r="D13" i="2" s="1"/>
  <c r="C12" i="2"/>
  <c r="B12" i="2"/>
  <c r="D12" i="2" s="1"/>
  <c r="C11" i="2"/>
  <c r="B11" i="2"/>
  <c r="D8" i="1"/>
  <c r="B8" i="1"/>
  <c r="D11" i="2" l="1"/>
  <c r="B9" i="1"/>
  <c r="D9" i="1" l="1"/>
  <c r="C10" i="1" s="1"/>
</calcChain>
</file>

<file path=xl/sharedStrings.xml><?xml version="1.0" encoding="utf-8"?>
<sst xmlns="http://schemas.openxmlformats.org/spreadsheetml/2006/main" count="120" uniqueCount="93">
  <si>
    <t>Lista de Verificación — Personal de Cocina y Producción</t>
  </si>
  <si>
    <t>Restaurante:</t>
  </si>
  <si>
    <t>Fecha:</t>
  </si>
  <si>
    <t>Evaluador:</t>
  </si>
  <si>
    <t>Turno / Servicio:</t>
  </si>
  <si>
    <t>RESULTADO DE LA EVALUACIÓN</t>
  </si>
  <si>
    <t>Total de respuestas SÍ</t>
  </si>
  <si>
    <t>Total de respuestas NO</t>
  </si>
  <si>
    <t>Ítems evaluados (SÍ + NO)</t>
  </si>
  <si>
    <t>% de cumplimiento</t>
  </si>
  <si>
    <t>CALIFICACIÓN FINAL</t>
  </si>
  <si>
    <t>Instrucciones: marque una X en la columna SÍ o NO de cada ítem. Deje en blanco los no aplicables (no se contabilizan). Los totales y la calificación se calculan automáticamente.</t>
  </si>
  <si>
    <t>1.  ESTRUCTURA Y ROLES DE COCINA</t>
  </si>
  <si>
    <t>PREGUNTA</t>
  </si>
  <si>
    <t>SÍ</t>
  </si>
  <si>
    <t>NO</t>
  </si>
  <si>
    <t>OBSERVACIONES</t>
  </si>
  <si>
    <t>¿Está definido el organigrama de cocina con sus roles (bacheros, ayudantes, cocineros, expo)?</t>
  </si>
  <si>
    <t>¿Cada puesto tiene funciones y responsabilidades claras y por escrito?</t>
  </si>
  <si>
    <t>¿Existe un responsable de cocina (jefe o chef) por turno?</t>
  </si>
  <si>
    <t>¿El rol de expo está cubierto en los turnos de mayor flujo?</t>
  </si>
  <si>
    <t>¿La cantidad de personal por rol está acorde al volumen de trabajo?</t>
  </si>
  <si>
    <t>¿La estructura de la cocina se revisa cuando cambia el volumen o el menú?</t>
  </si>
  <si>
    <t>2.  DOTACIÓN Y PLANIFICACIÓN DE TURNOS</t>
  </si>
  <si>
    <t>¿La dotación de cada turno está definida según la carga de trabajo del día?</t>
  </si>
  <si>
    <t>¿Se refuerza el personal los días pico (viernes y sábados)?</t>
  </si>
  <si>
    <t>¿El calendario de turnos está armado y comunicado con anticipación?</t>
  </si>
  <si>
    <t>¿Cada turno tiene horario de entrada y salida definido?</t>
  </si>
  <si>
    <t>¿Se controla que la dotación asignada cubra la dotación necesaria?</t>
  </si>
  <si>
    <t>¿Existe un plan de reemplazo ante ausencias o picos imprevistos?</t>
  </si>
  <si>
    <t>¿Se evita el exceso de personal en los turnos de baja demanda?</t>
  </si>
  <si>
    <t>3.  PERSONAL DE PRODUCCIÓN (MISE EN PLACE)</t>
  </si>
  <si>
    <t>¿Hay personal de producción asignado para el mise en place y los preelaborados?</t>
  </si>
  <si>
    <t>¿Están definidos los días y horarios de producción?</t>
  </si>
  <si>
    <t>¿La cantidad de empleados de producción está dimensionada según la demanda?</t>
  </si>
  <si>
    <t>¿Las tareas de producción están listadas y asignadas a un responsable?</t>
  </si>
  <si>
    <t>¿Se coordina la producción con la apertura del servicio (tiempos)?</t>
  </si>
  <si>
    <t>¿Se controlan las horas y las horas-hombre de producción?</t>
  </si>
  <si>
    <t>¿Se mide el rendimiento de la producción (lo producido vs. lo planificado)?</t>
  </si>
  <si>
    <t>4.  JORNADA, HORAS Y DESCANSOS</t>
  </si>
  <si>
    <t>¿Se registran las horas trabajadas por cada empleado de cocina?</t>
  </si>
  <si>
    <t>¿Se respeta la jornada legal y los descansos entre turnos?</t>
  </si>
  <si>
    <t>¿Se controla la carga horaria semanal para evitar excesos?</t>
  </si>
  <si>
    <t>¿Las horas extra se registran y se compensan o pagan correctamente?</t>
  </si>
  <si>
    <t>¿La carga de trabajo está equilibrada entre los integrantes del equipo?</t>
  </si>
  <si>
    <t>5.  CAPACITACIÓN Y POLIVALENCIA</t>
  </si>
  <si>
    <t>¿El personal está capacitado para las funciones de su rol?</t>
  </si>
  <si>
    <t>¿Existe un entrenamiento definido para los nuevos ingresos?</t>
  </si>
  <si>
    <t>¿Hay polivalencia (personal que puede cubrir más de un puesto)?</t>
  </si>
  <si>
    <t>¿Se realizan reuniones o briefings de cocina antes del servicio?</t>
  </si>
  <si>
    <t>¿Se da retroalimentación sobre el desempeño del equipo?</t>
  </si>
  <si>
    <t>¿Existe un plan de crecimiento o desarrollo para el personal de cocina?</t>
  </si>
  <si>
    <t>6.  HIGIENE, SEGURIDAD Y CLIMA LABORAL</t>
  </si>
  <si>
    <t>¿El personal conoce y aplica las normas de higiene y seguridad alimentaria?</t>
  </si>
  <si>
    <t>¿Se cumplen las normas de seguridad e higiene laboral (cortes, quemaduras, pisos)?</t>
  </si>
  <si>
    <t>¿El personal cuenta con uniforme y elementos de protección completos?</t>
  </si>
  <si>
    <t>¿El clima laboral en la cocina es sano (trato, comunicación, respeto)?</t>
  </si>
  <si>
    <t>¿Se controla el ausentismo y la rotación del personal?</t>
  </si>
  <si>
    <t>7.  PRODUCTIVIDAD Y COSTO LABORAL</t>
  </si>
  <si>
    <t>¿Se mide la productividad de la cocina (cubiertos por empleado, horas por servicio)?</t>
  </si>
  <si>
    <t>¿Se controla el costo de la mano de obra de cocina sobre la venta?</t>
  </si>
  <si>
    <t>¿La dotación se ajusta según la facturación y la estacionalidad?</t>
  </si>
  <si>
    <t>¿Se revisan periódicamente los indicadores de personal de cocina?</t>
  </si>
  <si>
    <t>¿Las decisiones de contratación se toman con datos y no por urgencia?</t>
  </si>
  <si>
    <t>BANDAS DE CALIFICACIÓN</t>
  </si>
  <si>
    <t>Calificación</t>
  </si>
  <si>
    <t>Acción</t>
  </si>
  <si>
    <t>Mayor o igual a 90%</t>
  </si>
  <si>
    <t>Excelente</t>
  </si>
  <si>
    <t>Sostener y documentar</t>
  </si>
  <si>
    <t>75% – 89%</t>
  </si>
  <si>
    <t>Muy bueno</t>
  </si>
  <si>
    <t>Ajustar pendientes</t>
  </si>
  <si>
    <t>60% – 74%</t>
  </si>
  <si>
    <t>Aceptable</t>
  </si>
  <si>
    <t>Plan de mejora</t>
  </si>
  <si>
    <t>40% – 59%</t>
  </si>
  <si>
    <t>Riesgo operativo</t>
  </si>
  <si>
    <t>Intervención prioritaria</t>
  </si>
  <si>
    <t>Menor a 40%</t>
  </si>
  <si>
    <t>Crítico – intervención inmediata</t>
  </si>
  <si>
    <t>Acción urgente</t>
  </si>
  <si>
    <t>RESUMEN POR CATEGORÍA</t>
  </si>
  <si>
    <t>Categoría</t>
  </si>
  <si>
    <t>% Cumpl.</t>
  </si>
  <si>
    <t>1. ESTRUCTURA Y ROLES DE COCINA</t>
  </si>
  <si>
    <t>2. DOTACIÓN Y PLANIFICACIÓN DE TURNOS</t>
  </si>
  <si>
    <t>3. PERSONAL DE PRODUCCIÓN (MISE EN PLACE)</t>
  </si>
  <si>
    <t>4. JORNADA, HORAS Y DESCANSOS</t>
  </si>
  <si>
    <t>5. CAPACITACIÓN Y POLIVALENCIA</t>
  </si>
  <si>
    <t>6. HIGIENE, SEGURIDAD Y CLIMA LABORAL</t>
  </si>
  <si>
    <t>7. PRODUCTIVIDAD Y COSTO LABORAL</t>
  </si>
  <si>
    <t>MISE EN PLACE GPS GASTRONOMICO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</si>
</sst>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2"/>
      <color rgb="FF0F8B8D"/>
      <name val="Arial"/>
      <family val="2"/>
    </font>
    <font>
      <b/>
      <sz val="12"/>
      <color rgb="FFFFFFFF"/>
      <name val="Arial"/>
      <family val="2"/>
    </font>
    <font>
      <b/>
      <sz val="12"/>
      <color rgb="FF1A1A1A"/>
      <name val="Arial"/>
      <family val="2"/>
    </font>
    <font>
      <b/>
      <sz val="9"/>
      <color rgb="FFFFFFFF"/>
      <name val="Arial"/>
      <family val="2"/>
    </font>
    <font>
      <b/>
      <sz val="22"/>
      <color theme="0"/>
      <name val="Arial"/>
      <family val="2"/>
    </font>
    <font>
      <sz val="14"/>
      <color theme="1"/>
      <name val="Calibri"/>
      <family val="2"/>
      <charset val="1"/>
    </font>
    <font>
      <b/>
      <sz val="14"/>
      <color rgb="FF0A2540"/>
      <name val="Arial"/>
      <family val="2"/>
    </font>
    <font>
      <sz val="14"/>
      <color rgb="FF1A1A1A"/>
      <name val="Arial"/>
      <family val="2"/>
    </font>
    <font>
      <i/>
      <sz val="12"/>
      <color rgb="FFFF0000"/>
      <name val="Arial"/>
      <family val="2"/>
    </font>
    <font>
      <b/>
      <sz val="12"/>
      <color rgb="FF0A2540"/>
      <name val="Arial"/>
      <family val="2"/>
    </font>
    <font>
      <b/>
      <sz val="14"/>
      <color rgb="FFFFFFFF"/>
      <name val="Arial"/>
      <family val="2"/>
    </font>
    <font>
      <sz val="12"/>
      <color rgb="FF1A1A1A"/>
      <name val="Arial"/>
      <family val="2"/>
    </font>
    <font>
      <b/>
      <sz val="12"/>
      <color rgb="FFC0392B"/>
      <name val="Arial"/>
      <family val="2"/>
    </font>
    <font>
      <sz val="12"/>
      <color theme="1"/>
      <name val="Calibri"/>
      <family val="2"/>
      <charset val="1"/>
    </font>
    <font>
      <b/>
      <sz val="18"/>
      <color rgb="FF0F8B8D"/>
      <name val="Arial"/>
      <family val="2"/>
    </font>
    <font>
      <b/>
      <sz val="16"/>
      <color rgb="FFFFFFFF"/>
      <name val="Arial"/>
      <family val="2"/>
    </font>
    <font>
      <sz val="16"/>
      <color rgb="FF1A1A1A"/>
      <name val="Arial"/>
      <family val="2"/>
    </font>
    <font>
      <b/>
      <sz val="16"/>
      <color rgb="FF1A1A1A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A2540"/>
        <bgColor rgb="FF1A1A1A"/>
      </patternFill>
    </fill>
    <fill>
      <patternFill patternType="solid">
        <fgColor rgb="FFEAF2F2"/>
        <bgColor rgb="FFE6F4EE"/>
      </patternFill>
    </fill>
    <fill>
      <patternFill patternType="solid">
        <fgColor rgb="FF0F8B8D"/>
        <bgColor rgb="FF1E8449"/>
      </patternFill>
    </fill>
    <fill>
      <patternFill patternType="solid">
        <fgColor rgb="FF5A6B7B"/>
        <bgColor rgb="FF808080"/>
      </patternFill>
    </fill>
    <fill>
      <patternFill patternType="solid">
        <fgColor rgb="FFFFFFFF"/>
        <bgColor rgb="FFFBF3DA"/>
      </patternFill>
    </fill>
    <fill>
      <patternFill patternType="solid">
        <fgColor rgb="FFDCF1E6"/>
        <bgColor rgb="FFE6F4EE"/>
      </patternFill>
    </fill>
    <fill>
      <patternFill patternType="solid">
        <fgColor rgb="FFE6F4EE"/>
        <bgColor rgb="FFEAF2F2"/>
      </patternFill>
    </fill>
    <fill>
      <patternFill patternType="solid">
        <fgColor rgb="FFFBF3DA"/>
        <bgColor rgb="FFEAF2F2"/>
      </patternFill>
    </fill>
    <fill>
      <patternFill patternType="solid">
        <fgColor rgb="FFFBE3D4"/>
        <bgColor rgb="FFF7D7D7"/>
      </patternFill>
    </fill>
    <fill>
      <patternFill patternType="solid">
        <fgColor rgb="FFF7D7D7"/>
        <bgColor rgb="FFFBE3D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C7D2D9"/>
      </left>
      <right style="thin">
        <color rgb="FFC7D2D9"/>
      </right>
      <top style="thin">
        <color rgb="FFC7D2D9"/>
      </top>
      <bottom style="thin">
        <color rgb="FFC7D2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7D2D9"/>
      </right>
      <top style="thin">
        <color rgb="FFC7D2D9"/>
      </top>
      <bottom style="thin">
        <color rgb="FFC7D2D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C7D2D9"/>
      </top>
      <bottom style="thin">
        <color rgb="FFC7D2D9"/>
      </bottom>
      <diagonal/>
    </border>
    <border>
      <left/>
      <right/>
      <top style="thin">
        <color rgb="FFC7D2D9"/>
      </top>
      <bottom/>
      <diagonal/>
    </border>
    <border>
      <left style="thin">
        <color rgb="FFC7D2D9"/>
      </left>
      <right/>
      <top style="thin">
        <color rgb="FFC7D2D9"/>
      </top>
      <bottom style="thin">
        <color rgb="FFC7D2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13" borderId="0" xfId="0" applyFont="1" applyFill="1"/>
    <xf numFmtId="0" fontId="7" fillId="13" borderId="0" xfId="0" applyFont="1" applyFill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7" fillId="13" borderId="0" xfId="0" applyFont="1" applyFill="1" applyAlignment="1">
      <alignment horizontal="right" vertical="center"/>
    </xf>
    <xf numFmtId="0" fontId="0" fillId="13" borderId="0" xfId="0" applyFill="1"/>
    <xf numFmtId="0" fontId="0" fillId="12" borderId="0" xfId="0" applyFill="1"/>
    <xf numFmtId="0" fontId="8" fillId="13" borderId="5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0" xfId="0" applyFont="1"/>
    <xf numFmtId="0" fontId="10" fillId="3" borderId="7" xfId="0" applyFont="1" applyFill="1" applyBorder="1" applyAlignment="1">
      <alignment horizontal="right" vertical="center"/>
    </xf>
    <xf numFmtId="0" fontId="10" fillId="3" borderId="8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6" fillId="0" borderId="0" xfId="0" applyFont="1"/>
    <xf numFmtId="0" fontId="17" fillId="7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164" fontId="8" fillId="6" borderId="9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0" fontId="0" fillId="15" borderId="10" xfId="0" applyFill="1" applyBorder="1"/>
    <xf numFmtId="0" fontId="0" fillId="15" borderId="11" xfId="0" applyFill="1" applyBorder="1"/>
    <xf numFmtId="0" fontId="0" fillId="15" borderId="12" xfId="0" applyFill="1" applyBorder="1"/>
    <xf numFmtId="0" fontId="0" fillId="15" borderId="13" xfId="0" applyFill="1" applyBorder="1"/>
    <xf numFmtId="0" fontId="0" fillId="15" borderId="0" xfId="0" applyFill="1"/>
    <xf numFmtId="0" fontId="0" fillId="15" borderId="14" xfId="0" applyFill="1" applyBorder="1"/>
    <xf numFmtId="0" fontId="0" fillId="15" borderId="15" xfId="0" applyFill="1" applyBorder="1"/>
    <xf numFmtId="0" fontId="0" fillId="15" borderId="16" xfId="0" applyFill="1" applyBorder="1"/>
    <xf numFmtId="0" fontId="0" fillId="15" borderId="17" xfId="0" applyFill="1" applyBorder="1"/>
    <xf numFmtId="0" fontId="5" fillId="12" borderId="0" xfId="0" applyFont="1" applyFill="1" applyAlignment="1">
      <alignment horizontal="left" vertical="center"/>
    </xf>
    <xf numFmtId="0" fontId="15" fillId="14" borderId="3" xfId="0" applyFont="1" applyFill="1" applyBorder="1" applyAlignment="1">
      <alignment horizontal="left" vertical="center"/>
    </xf>
    <xf numFmtId="0" fontId="15" fillId="14" borderId="6" xfId="0" applyFont="1" applyFill="1" applyBorder="1" applyAlignment="1">
      <alignment horizontal="left" vertical="center"/>
    </xf>
    <xf numFmtId="0" fontId="15" fillId="14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sz val="12"/>
        <color rgb="FFFFFFFF"/>
        <name val="Arial"/>
        <charset val="1"/>
      </font>
      <fill>
        <patternFill>
          <bgColor rgb="FFC0392B"/>
        </patternFill>
      </fill>
    </dxf>
    <dxf>
      <font>
        <b/>
        <sz val="12"/>
        <color rgb="FFFFFFFF"/>
        <name val="Arial"/>
        <charset val="1"/>
      </font>
      <fill>
        <patternFill>
          <bgColor rgb="FFE67E22"/>
        </patternFill>
      </fill>
    </dxf>
    <dxf>
      <font>
        <b/>
        <sz val="12"/>
        <color rgb="FFFFFFFF"/>
        <name val="Arial"/>
        <charset val="1"/>
      </font>
      <fill>
        <patternFill>
          <bgColor rgb="FFC9A227"/>
        </patternFill>
      </fill>
    </dxf>
    <dxf>
      <font>
        <b/>
        <sz val="12"/>
        <color rgb="FFFFFFFF"/>
        <name val="Arial"/>
        <charset val="1"/>
      </font>
      <fill>
        <patternFill>
          <bgColor rgb="FF27AE60"/>
        </patternFill>
      </fill>
    </dxf>
    <dxf>
      <font>
        <b/>
        <sz val="12"/>
        <color rgb="FFFFFFFF"/>
        <name val="Arial"/>
        <charset val="1"/>
      </font>
      <fill>
        <patternFill>
          <bgColor rgb="FF1E844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B8D"/>
      <rgbColor rgb="FFC0C0C0"/>
      <rgbColor rgb="FF808080"/>
      <rgbColor rgb="FF9999FF"/>
      <rgbColor rgb="FF993366"/>
      <rgbColor rgb="FFFBF3DA"/>
      <rgbColor rgb="FFDCF1E6"/>
      <rgbColor rgb="FF660066"/>
      <rgbColor rgb="FFFF8080"/>
      <rgbColor rgb="FF0066CC"/>
      <rgbColor rgb="FFC7D2D9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E6F4EE"/>
      <rgbColor rgb="FFEAF2F2"/>
      <rgbColor rgb="FFFBE3D4"/>
      <rgbColor rgb="FF99CCFF"/>
      <rgbColor rgb="FFFF99CC"/>
      <rgbColor rgb="FFCC99FF"/>
      <rgbColor rgb="FFF7D7D7"/>
      <rgbColor rgb="FF3366FF"/>
      <rgbColor rgb="FF33CCCC"/>
      <rgbColor rgb="FF99CC00"/>
      <rgbColor rgb="FFFFCC00"/>
      <rgbColor rgb="FFC9A227"/>
      <rgbColor rgb="FFE67E22"/>
      <rgbColor rgb="FF5A6B7B"/>
      <rgbColor rgb="FF969696"/>
      <rgbColor rgb="FF0A2540"/>
      <rgbColor rgb="FF27AE60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1524000</xdr:colOff>
      <xdr:row>77</xdr:row>
      <xdr:rowOff>101600</xdr:rowOff>
    </xdr:from>
    <xdr:to>
      <xdr:col>4</xdr:col>
      <xdr:colOff>38100</xdr:colOff>
      <xdr:row>82</xdr:row>
      <xdr:rowOff>59714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EC9EC6-C8BA-B085-47C0-9D785C55C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16776700"/>
          <a:ext cx="1320800" cy="910614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1270000</xdr:colOff>
      <xdr:row>0</xdr:row>
      <xdr:rowOff>63500</xdr:rowOff>
    </xdr:from>
    <xdr:to>
      <xdr:col>3</xdr:col>
      <xdr:colOff>2730500</xdr:colOff>
      <xdr:row>0</xdr:row>
      <xdr:rowOff>1070429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DB24AE1-2254-2155-9B30-1897FD7EB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63500"/>
          <a:ext cx="1460500" cy="100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showGridLines="0" tabSelected="1" zoomScaleNormal="100" workbookViewId="0">
      <pane ySplit="12" topLeftCell="A22" activePane="bottomLeft" state="frozen"/>
      <selection pane="bottomLeft" activeCell="H7" sqref="H7"/>
    </sheetView>
  </sheetViews>
  <sheetFormatPr baseColWidth="10" defaultColWidth="8.6640625" defaultRowHeight="15" x14ac:dyDescent="0.2"/>
  <cols>
    <col min="1" max="1" width="78" customWidth="1"/>
    <col min="2" max="2" width="12.5" customWidth="1"/>
    <col min="3" max="3" width="23.33203125" customWidth="1"/>
    <col min="4" max="4" width="36.83203125" customWidth="1"/>
  </cols>
  <sheetData>
    <row r="1" spans="1:4" ht="89" customHeight="1" thickBot="1" x14ac:dyDescent="0.25">
      <c r="A1" s="55" t="s">
        <v>92</v>
      </c>
      <c r="B1" s="55"/>
      <c r="C1" s="55"/>
      <c r="D1" s="55"/>
    </row>
    <row r="2" spans="1:4" ht="35" customHeight="1" thickBot="1" x14ac:dyDescent="0.25">
      <c r="A2" s="56" t="s">
        <v>0</v>
      </c>
      <c r="B2" s="57"/>
      <c r="C2" s="57"/>
      <c r="D2" s="58"/>
    </row>
    <row r="3" spans="1:4" ht="20" thickBot="1" x14ac:dyDescent="0.3">
      <c r="A3" s="3"/>
      <c r="B3" s="3"/>
      <c r="C3" s="3"/>
      <c r="D3" s="3"/>
    </row>
    <row r="4" spans="1:4" ht="19" thickBot="1" x14ac:dyDescent="0.25">
      <c r="A4" s="10" t="s">
        <v>1</v>
      </c>
      <c r="B4" s="9"/>
      <c r="C4" s="6" t="s">
        <v>2</v>
      </c>
      <c r="D4" s="11"/>
    </row>
    <row r="5" spans="1:4" ht="19" thickBot="1" x14ac:dyDescent="0.25">
      <c r="A5" s="4" t="s">
        <v>3</v>
      </c>
      <c r="B5" s="5"/>
      <c r="C5" s="6" t="s">
        <v>4</v>
      </c>
      <c r="D5" s="11"/>
    </row>
    <row r="6" spans="1:4" x14ac:dyDescent="0.2">
      <c r="A6" s="7"/>
      <c r="B6" s="7"/>
      <c r="C6" s="7"/>
      <c r="D6" s="7"/>
    </row>
    <row r="7" spans="1:4" ht="31" customHeight="1" thickBot="1" x14ac:dyDescent="0.25">
      <c r="A7" s="59" t="s">
        <v>5</v>
      </c>
      <c r="B7" s="59"/>
      <c r="C7" s="59"/>
      <c r="D7" s="59"/>
    </row>
    <row r="8" spans="1:4" ht="29" customHeight="1" thickBot="1" x14ac:dyDescent="0.25">
      <c r="A8" s="12" t="s">
        <v>6</v>
      </c>
      <c r="B8" s="13">
        <f>COUNTIF(B16:B74,"X")</f>
        <v>0</v>
      </c>
      <c r="C8" s="24" t="s">
        <v>7</v>
      </c>
      <c r="D8" s="13">
        <f>COUNTIF(C16:C74,"X")</f>
        <v>0</v>
      </c>
    </row>
    <row r="9" spans="1:4" ht="40" customHeight="1" thickBot="1" x14ac:dyDescent="0.25">
      <c r="A9" s="12" t="s">
        <v>8</v>
      </c>
      <c r="B9" s="13">
        <f>B8+D8</f>
        <v>0</v>
      </c>
      <c r="C9" s="25" t="s">
        <v>9</v>
      </c>
      <c r="D9" s="14">
        <f>IFERROR(B8/B9,0)</f>
        <v>0</v>
      </c>
    </row>
    <row r="10" spans="1:4" ht="36" customHeight="1" thickBot="1" x14ac:dyDescent="0.25">
      <c r="A10" s="60" t="s">
        <v>10</v>
      </c>
      <c r="B10" s="60"/>
      <c r="C10" s="70" t="str">
        <f>IF(B9=0,"Sin datos",IF(D9&gt;=0.9,"EXCELENTE",IF(D9&gt;=0.75,"MUY BUENO",IF(D9&gt;=0.6,"ACEPTABLE",IF(D9&gt;=0.4,"RIESGO DE PÉRDIDA DE RENTABILIDAD","SERVICIO CRÍTICO – INTERVENCIÓN INMEDIATA")))))</f>
        <v>Sin datos</v>
      </c>
      <c r="D10" s="71"/>
    </row>
    <row r="12" spans="1:4" ht="39" customHeight="1" x14ac:dyDescent="0.2">
      <c r="A12" s="62" t="s">
        <v>11</v>
      </c>
      <c r="B12" s="62"/>
      <c r="C12" s="62"/>
      <c r="D12" s="62"/>
    </row>
    <row r="14" spans="1:4" ht="35" customHeight="1" x14ac:dyDescent="0.2">
      <c r="A14" s="61" t="s">
        <v>12</v>
      </c>
      <c r="B14" s="61"/>
      <c r="C14" s="61"/>
      <c r="D14" s="61"/>
    </row>
    <row r="15" spans="1:4" ht="27" customHeight="1" x14ac:dyDescent="0.2">
      <c r="A15" s="15" t="s">
        <v>13</v>
      </c>
      <c r="B15" s="16" t="s">
        <v>14</v>
      </c>
      <c r="C15" s="16" t="s">
        <v>15</v>
      </c>
      <c r="D15" s="16" t="s">
        <v>16</v>
      </c>
    </row>
    <row r="16" spans="1:4" ht="34" x14ac:dyDescent="0.2">
      <c r="A16" s="17" t="s">
        <v>17</v>
      </c>
      <c r="B16" s="18"/>
      <c r="C16" s="19"/>
      <c r="D16" s="17"/>
    </row>
    <row r="17" spans="1:4" ht="17" x14ac:dyDescent="0.2">
      <c r="A17" s="20" t="s">
        <v>18</v>
      </c>
      <c r="B17" s="21"/>
      <c r="C17" s="22"/>
      <c r="D17" s="20"/>
    </row>
    <row r="18" spans="1:4" ht="17" x14ac:dyDescent="0.2">
      <c r="A18" s="17" t="s">
        <v>19</v>
      </c>
      <c r="B18" s="18"/>
      <c r="C18" s="19"/>
      <c r="D18" s="17"/>
    </row>
    <row r="19" spans="1:4" ht="17" x14ac:dyDescent="0.2">
      <c r="A19" s="20" t="s">
        <v>20</v>
      </c>
      <c r="B19" s="21"/>
      <c r="C19" s="22"/>
      <c r="D19" s="20"/>
    </row>
    <row r="20" spans="1:4" ht="17" x14ac:dyDescent="0.2">
      <c r="A20" s="17" t="s">
        <v>21</v>
      </c>
      <c r="B20" s="18"/>
      <c r="C20" s="19"/>
      <c r="D20" s="17"/>
    </row>
    <row r="21" spans="1:4" ht="17" x14ac:dyDescent="0.2">
      <c r="A21" s="20" t="s">
        <v>22</v>
      </c>
      <c r="B21" s="21"/>
      <c r="C21" s="22"/>
      <c r="D21" s="20"/>
    </row>
    <row r="22" spans="1:4" ht="16" x14ac:dyDescent="0.2">
      <c r="A22" s="23"/>
      <c r="B22" s="23"/>
      <c r="C22" s="23"/>
      <c r="D22" s="23"/>
    </row>
    <row r="23" spans="1:4" ht="35" customHeight="1" x14ac:dyDescent="0.2">
      <c r="A23" s="61" t="s">
        <v>23</v>
      </c>
      <c r="B23" s="61"/>
      <c r="C23" s="61"/>
      <c r="D23" s="61"/>
    </row>
    <row r="24" spans="1:4" ht="26" customHeight="1" x14ac:dyDescent="0.2">
      <c r="A24" s="15" t="s">
        <v>13</v>
      </c>
      <c r="B24" s="16" t="s">
        <v>14</v>
      </c>
      <c r="C24" s="16" t="s">
        <v>15</v>
      </c>
      <c r="D24" s="16" t="s">
        <v>16</v>
      </c>
    </row>
    <row r="25" spans="1:4" ht="17" x14ac:dyDescent="0.2">
      <c r="A25" s="17" t="s">
        <v>24</v>
      </c>
      <c r="B25" s="18"/>
      <c r="C25" s="19"/>
      <c r="D25" s="17"/>
    </row>
    <row r="26" spans="1:4" ht="17" x14ac:dyDescent="0.2">
      <c r="A26" s="20" t="s">
        <v>25</v>
      </c>
      <c r="B26" s="21"/>
      <c r="C26" s="22"/>
      <c r="D26" s="20"/>
    </row>
    <row r="27" spans="1:4" ht="17" x14ac:dyDescent="0.2">
      <c r="A27" s="17" t="s">
        <v>26</v>
      </c>
      <c r="B27" s="18"/>
      <c r="C27" s="19"/>
      <c r="D27" s="17"/>
    </row>
    <row r="28" spans="1:4" ht="17" x14ac:dyDescent="0.2">
      <c r="A28" s="20" t="s">
        <v>27</v>
      </c>
      <c r="B28" s="21"/>
      <c r="C28" s="22"/>
      <c r="D28" s="20"/>
    </row>
    <row r="29" spans="1:4" ht="17" x14ac:dyDescent="0.2">
      <c r="A29" s="17" t="s">
        <v>28</v>
      </c>
      <c r="B29" s="18"/>
      <c r="C29" s="19"/>
      <c r="D29" s="17"/>
    </row>
    <row r="30" spans="1:4" ht="17" x14ac:dyDescent="0.2">
      <c r="A30" s="20" t="s">
        <v>29</v>
      </c>
      <c r="B30" s="21"/>
      <c r="C30" s="22"/>
      <c r="D30" s="20"/>
    </row>
    <row r="31" spans="1:4" ht="17" x14ac:dyDescent="0.2">
      <c r="A31" s="17" t="s">
        <v>30</v>
      </c>
      <c r="B31" s="18"/>
      <c r="C31" s="19"/>
      <c r="D31" s="17"/>
    </row>
    <row r="32" spans="1:4" ht="16" x14ac:dyDescent="0.2">
      <c r="A32" s="23"/>
      <c r="B32" s="23"/>
      <c r="C32" s="23"/>
      <c r="D32" s="23"/>
    </row>
    <row r="33" spans="1:4" ht="32" customHeight="1" x14ac:dyDescent="0.2">
      <c r="A33" s="61" t="s">
        <v>31</v>
      </c>
      <c r="B33" s="61"/>
      <c r="C33" s="61"/>
      <c r="D33" s="61"/>
    </row>
    <row r="34" spans="1:4" ht="29" customHeight="1" x14ac:dyDescent="0.2">
      <c r="A34" s="15" t="s">
        <v>13</v>
      </c>
      <c r="B34" s="16" t="s">
        <v>14</v>
      </c>
      <c r="C34" s="16" t="s">
        <v>15</v>
      </c>
      <c r="D34" s="16" t="s">
        <v>16</v>
      </c>
    </row>
    <row r="35" spans="1:4" ht="34" x14ac:dyDescent="0.2">
      <c r="A35" s="17" t="s">
        <v>32</v>
      </c>
      <c r="B35" s="18"/>
      <c r="C35" s="19"/>
      <c r="D35" s="17"/>
    </row>
    <row r="36" spans="1:4" ht="17" x14ac:dyDescent="0.2">
      <c r="A36" s="20" t="s">
        <v>33</v>
      </c>
      <c r="B36" s="21"/>
      <c r="C36" s="22"/>
      <c r="D36" s="20"/>
    </row>
    <row r="37" spans="1:4" ht="34" x14ac:dyDescent="0.2">
      <c r="A37" s="17" t="s">
        <v>34</v>
      </c>
      <c r="B37" s="18"/>
      <c r="C37" s="19"/>
      <c r="D37" s="17"/>
    </row>
    <row r="38" spans="1:4" ht="17" x14ac:dyDescent="0.2">
      <c r="A38" s="20" t="s">
        <v>35</v>
      </c>
      <c r="B38" s="21"/>
      <c r="C38" s="22"/>
      <c r="D38" s="20"/>
    </row>
    <row r="39" spans="1:4" ht="17" x14ac:dyDescent="0.2">
      <c r="A39" s="17" t="s">
        <v>36</v>
      </c>
      <c r="B39" s="18"/>
      <c r="C39" s="19"/>
      <c r="D39" s="17"/>
    </row>
    <row r="40" spans="1:4" ht="17" x14ac:dyDescent="0.2">
      <c r="A40" s="20" t="s">
        <v>37</v>
      </c>
      <c r="B40" s="21"/>
      <c r="C40" s="22"/>
      <c r="D40" s="20"/>
    </row>
    <row r="41" spans="1:4" ht="17" x14ac:dyDescent="0.2">
      <c r="A41" s="17" t="s">
        <v>38</v>
      </c>
      <c r="B41" s="18"/>
      <c r="C41" s="19"/>
      <c r="D41" s="17"/>
    </row>
    <row r="43" spans="1:4" ht="29" customHeight="1" x14ac:dyDescent="0.2">
      <c r="A43" s="61" t="s">
        <v>39</v>
      </c>
      <c r="B43" s="61"/>
      <c r="C43" s="61"/>
      <c r="D43" s="61"/>
    </row>
    <row r="44" spans="1:4" ht="23" customHeight="1" x14ac:dyDescent="0.2">
      <c r="A44" s="15" t="s">
        <v>13</v>
      </c>
      <c r="B44" s="16" t="s">
        <v>14</v>
      </c>
      <c r="C44" s="16" t="s">
        <v>15</v>
      </c>
      <c r="D44" s="16" t="s">
        <v>16</v>
      </c>
    </row>
    <row r="45" spans="1:4" ht="17" x14ac:dyDescent="0.2">
      <c r="A45" s="17" t="s">
        <v>40</v>
      </c>
      <c r="B45" s="18"/>
      <c r="C45" s="19"/>
      <c r="D45" s="17"/>
    </row>
    <row r="46" spans="1:4" ht="17" x14ac:dyDescent="0.2">
      <c r="A46" s="20" t="s">
        <v>41</v>
      </c>
      <c r="B46" s="21"/>
      <c r="C46" s="22"/>
      <c r="D46" s="20"/>
    </row>
    <row r="47" spans="1:4" ht="17" x14ac:dyDescent="0.2">
      <c r="A47" s="17" t="s">
        <v>42</v>
      </c>
      <c r="B47" s="18"/>
      <c r="C47" s="19"/>
      <c r="D47" s="17"/>
    </row>
    <row r="48" spans="1:4" ht="17" x14ac:dyDescent="0.2">
      <c r="A48" s="20" t="s">
        <v>43</v>
      </c>
      <c r="B48" s="21"/>
      <c r="C48" s="22"/>
      <c r="D48" s="20"/>
    </row>
    <row r="49" spans="1:4" ht="17" x14ac:dyDescent="0.2">
      <c r="A49" s="17" t="s">
        <v>44</v>
      </c>
      <c r="B49" s="18"/>
      <c r="C49" s="19"/>
      <c r="D49" s="17"/>
    </row>
    <row r="50" spans="1:4" ht="16" x14ac:dyDescent="0.2">
      <c r="A50" s="23"/>
      <c r="B50" s="23"/>
      <c r="C50" s="23"/>
      <c r="D50" s="23"/>
    </row>
    <row r="51" spans="1:4" ht="29" customHeight="1" x14ac:dyDescent="0.2">
      <c r="A51" s="61" t="s">
        <v>45</v>
      </c>
      <c r="B51" s="61"/>
      <c r="C51" s="61"/>
      <c r="D51" s="61"/>
    </row>
    <row r="52" spans="1:4" ht="26" customHeight="1" x14ac:dyDescent="0.2">
      <c r="A52" s="15" t="s">
        <v>13</v>
      </c>
      <c r="B52" s="16" t="s">
        <v>14</v>
      </c>
      <c r="C52" s="16" t="s">
        <v>15</v>
      </c>
      <c r="D52" s="16" t="s">
        <v>16</v>
      </c>
    </row>
    <row r="53" spans="1:4" ht="17" x14ac:dyDescent="0.2">
      <c r="A53" s="17" t="s">
        <v>46</v>
      </c>
      <c r="B53" s="18"/>
      <c r="C53" s="19"/>
      <c r="D53" s="17"/>
    </row>
    <row r="54" spans="1:4" ht="17" x14ac:dyDescent="0.2">
      <c r="A54" s="20" t="s">
        <v>47</v>
      </c>
      <c r="B54" s="21"/>
      <c r="C54" s="22"/>
      <c r="D54" s="20"/>
    </row>
    <row r="55" spans="1:4" ht="17" x14ac:dyDescent="0.2">
      <c r="A55" s="17" t="s">
        <v>48</v>
      </c>
      <c r="B55" s="18"/>
      <c r="C55" s="19"/>
      <c r="D55" s="17"/>
    </row>
    <row r="56" spans="1:4" ht="17" x14ac:dyDescent="0.2">
      <c r="A56" s="20" t="s">
        <v>49</v>
      </c>
      <c r="B56" s="21"/>
      <c r="C56" s="22"/>
      <c r="D56" s="20"/>
    </row>
    <row r="57" spans="1:4" ht="17" x14ac:dyDescent="0.2">
      <c r="A57" s="17" t="s">
        <v>50</v>
      </c>
      <c r="B57" s="18"/>
      <c r="C57" s="19"/>
      <c r="D57" s="17"/>
    </row>
    <row r="58" spans="1:4" ht="17" x14ac:dyDescent="0.2">
      <c r="A58" s="20" t="s">
        <v>51</v>
      </c>
      <c r="B58" s="21"/>
      <c r="C58" s="22"/>
      <c r="D58" s="20"/>
    </row>
    <row r="60" spans="1:4" ht="35" customHeight="1" x14ac:dyDescent="0.2">
      <c r="A60" s="61" t="s">
        <v>52</v>
      </c>
      <c r="B60" s="61"/>
      <c r="C60" s="61"/>
      <c r="D60" s="61"/>
    </row>
    <row r="61" spans="1:4" ht="28" customHeight="1" x14ac:dyDescent="0.2">
      <c r="A61" s="15" t="s">
        <v>13</v>
      </c>
      <c r="B61" s="16" t="s">
        <v>14</v>
      </c>
      <c r="C61" s="16" t="s">
        <v>15</v>
      </c>
      <c r="D61" s="16" t="s">
        <v>16</v>
      </c>
    </row>
    <row r="62" spans="1:4" ht="17" x14ac:dyDescent="0.2">
      <c r="A62" s="17" t="s">
        <v>53</v>
      </c>
      <c r="B62" s="18"/>
      <c r="C62" s="19"/>
      <c r="D62" s="17"/>
    </row>
    <row r="63" spans="1:4" ht="34" x14ac:dyDescent="0.2">
      <c r="A63" s="20" t="s">
        <v>54</v>
      </c>
      <c r="B63" s="21"/>
      <c r="C63" s="22"/>
      <c r="D63" s="20"/>
    </row>
    <row r="64" spans="1:4" ht="17" x14ac:dyDescent="0.2">
      <c r="A64" s="17" t="s">
        <v>55</v>
      </c>
      <c r="B64" s="18"/>
      <c r="C64" s="19"/>
      <c r="D64" s="17"/>
    </row>
    <row r="65" spans="1:4" ht="17" x14ac:dyDescent="0.2">
      <c r="A65" s="20" t="s">
        <v>56</v>
      </c>
      <c r="B65" s="21"/>
      <c r="C65" s="22"/>
      <c r="D65" s="20"/>
    </row>
    <row r="66" spans="1:4" ht="17" x14ac:dyDescent="0.2">
      <c r="A66" s="17" t="s">
        <v>57</v>
      </c>
      <c r="B66" s="18"/>
      <c r="C66" s="19"/>
      <c r="D66" s="17"/>
    </row>
    <row r="67" spans="1:4" ht="16" x14ac:dyDescent="0.2">
      <c r="A67" s="23"/>
      <c r="B67" s="23"/>
      <c r="C67" s="23"/>
      <c r="D67" s="23"/>
    </row>
    <row r="68" spans="1:4" ht="29" customHeight="1" x14ac:dyDescent="0.2">
      <c r="A68" s="61" t="s">
        <v>58</v>
      </c>
      <c r="B68" s="61"/>
      <c r="C68" s="61"/>
      <c r="D68" s="61"/>
    </row>
    <row r="69" spans="1:4" ht="27" customHeight="1" x14ac:dyDescent="0.2">
      <c r="A69" s="15" t="s">
        <v>13</v>
      </c>
      <c r="B69" s="16" t="s">
        <v>14</v>
      </c>
      <c r="C69" s="16" t="s">
        <v>15</v>
      </c>
      <c r="D69" s="16" t="s">
        <v>16</v>
      </c>
    </row>
    <row r="70" spans="1:4" ht="34" x14ac:dyDescent="0.2">
      <c r="A70" s="17" t="s">
        <v>59</v>
      </c>
      <c r="B70" s="18"/>
      <c r="C70" s="19"/>
      <c r="D70" s="17"/>
    </row>
    <row r="71" spans="1:4" ht="17" x14ac:dyDescent="0.2">
      <c r="A71" s="20" t="s">
        <v>60</v>
      </c>
      <c r="B71" s="21"/>
      <c r="C71" s="22"/>
      <c r="D71" s="20"/>
    </row>
    <row r="72" spans="1:4" ht="17" x14ac:dyDescent="0.2">
      <c r="A72" s="17" t="s">
        <v>61</v>
      </c>
      <c r="B72" s="18"/>
      <c r="C72" s="19"/>
      <c r="D72" s="17"/>
    </row>
    <row r="73" spans="1:4" ht="17" x14ac:dyDescent="0.2">
      <c r="A73" s="20" t="s">
        <v>62</v>
      </c>
      <c r="B73" s="21"/>
      <c r="C73" s="22"/>
      <c r="D73" s="20"/>
    </row>
    <row r="74" spans="1:4" ht="17" x14ac:dyDescent="0.2">
      <c r="A74" s="17" t="s">
        <v>63</v>
      </c>
      <c r="B74" s="18"/>
      <c r="C74" s="19"/>
      <c r="D74" s="17"/>
    </row>
    <row r="75" spans="1:4" ht="16" x14ac:dyDescent="0.2">
      <c r="A75" s="23"/>
      <c r="B75" s="23"/>
      <c r="C75" s="23"/>
      <c r="D75" s="23"/>
    </row>
    <row r="77" spans="1:4" x14ac:dyDescent="0.2">
      <c r="A77" s="8"/>
      <c r="B77" s="8"/>
      <c r="C77" s="8"/>
      <c r="D77" s="8"/>
    </row>
    <row r="78" spans="1:4" x14ac:dyDescent="0.2">
      <c r="A78" s="8"/>
      <c r="B78" s="8"/>
      <c r="C78" s="8"/>
      <c r="D78" s="8"/>
    </row>
    <row r="79" spans="1:4" x14ac:dyDescent="0.2">
      <c r="A79" s="8"/>
      <c r="B79" s="8"/>
      <c r="C79" s="8"/>
      <c r="D79" s="8"/>
    </row>
    <row r="80" spans="1:4" x14ac:dyDescent="0.2">
      <c r="A80" s="8"/>
      <c r="B80" s="8"/>
      <c r="C80" s="8"/>
      <c r="D80" s="8"/>
    </row>
    <row r="81" spans="1:4" x14ac:dyDescent="0.2">
      <c r="A81" s="8"/>
      <c r="B81" s="8"/>
      <c r="C81" s="8"/>
      <c r="D81" s="8"/>
    </row>
    <row r="82" spans="1:4" x14ac:dyDescent="0.2">
      <c r="A82" s="8"/>
      <c r="B82" s="8"/>
      <c r="C82" s="8"/>
      <c r="D82" s="8"/>
    </row>
    <row r="83" spans="1:4" x14ac:dyDescent="0.2">
      <c r="A83" s="8"/>
      <c r="B83" s="8"/>
      <c r="C83" s="8"/>
      <c r="D83" s="8"/>
    </row>
    <row r="84" spans="1:4" x14ac:dyDescent="0.2">
      <c r="A84" s="8"/>
      <c r="B84" s="8"/>
      <c r="C84" s="8"/>
      <c r="D84" s="8"/>
    </row>
  </sheetData>
  <mergeCells count="13">
    <mergeCell ref="A51:D51"/>
    <mergeCell ref="A60:D60"/>
    <mergeCell ref="A68:D68"/>
    <mergeCell ref="A12:D12"/>
    <mergeCell ref="A14:D14"/>
    <mergeCell ref="A23:D23"/>
    <mergeCell ref="A33:D33"/>
    <mergeCell ref="A43:D43"/>
    <mergeCell ref="A1:D1"/>
    <mergeCell ref="A2:D2"/>
    <mergeCell ref="A7:D7"/>
    <mergeCell ref="A10:B10"/>
    <mergeCell ref="C10:D10"/>
  </mergeCells>
  <conditionalFormatting sqref="C10:D10">
    <cfRule type="expression" dxfId="4" priority="2">
      <formula>EXACT($C$10,"EXCELENTE")</formula>
    </cfRule>
    <cfRule type="expression" dxfId="3" priority="3">
      <formula>EXACT($C$10,"MUY BUENO")</formula>
    </cfRule>
    <cfRule type="expression" dxfId="2" priority="4">
      <formula>EXACT($C$10,"ACEPTABLE")</formula>
    </cfRule>
    <cfRule type="expression" dxfId="1" priority="5">
      <formula>EXACT($C$10,"RIESGO DE PÉRDIDA DE RENTABILIDAD")</formula>
    </cfRule>
    <cfRule type="expression" dxfId="0" priority="6">
      <formula>EXACT($C$10,"SERVICIO CRÍTICO – INTERVENCIÓN INMEDIATA")</formula>
    </cfRule>
  </conditionalFormatting>
  <dataValidations count="1">
    <dataValidation type="list" allowBlank="1" sqref="B16:C21 B25:C31 B35:C41 B45:C49 B53:C58 B62:C66 B70:C74" xr:uid="{00000000-0002-0000-0000-000000000000}">
      <formula1>"X"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zoomScaleNormal="100" workbookViewId="0">
      <selection activeCell="C25" sqref="C25"/>
    </sheetView>
  </sheetViews>
  <sheetFormatPr baseColWidth="10" defaultColWidth="8.6640625" defaultRowHeight="15" x14ac:dyDescent="0.2"/>
  <cols>
    <col min="1" max="1" width="42" customWidth="1"/>
    <col min="2" max="2" width="12.1640625" customWidth="1"/>
    <col min="3" max="3" width="33.5" customWidth="1"/>
    <col min="4" max="4" width="39.5" customWidth="1"/>
  </cols>
  <sheetData>
    <row r="1" spans="1:8" ht="39" customHeight="1" x14ac:dyDescent="0.2">
      <c r="A1" s="65" t="s">
        <v>64</v>
      </c>
      <c r="B1" s="65"/>
      <c r="C1" s="65"/>
      <c r="D1" s="65"/>
      <c r="E1" s="46"/>
      <c r="F1" s="47"/>
      <c r="G1" s="47"/>
      <c r="H1" s="48"/>
    </row>
    <row r="2" spans="1:8" ht="30" customHeight="1" x14ac:dyDescent="0.2">
      <c r="A2" s="30" t="s">
        <v>9</v>
      </c>
      <c r="B2" s="66" t="s">
        <v>65</v>
      </c>
      <c r="C2" s="66"/>
      <c r="D2" s="37" t="s">
        <v>66</v>
      </c>
      <c r="E2" s="49"/>
      <c r="F2" s="50"/>
      <c r="G2" s="50"/>
      <c r="H2" s="51"/>
    </row>
    <row r="3" spans="1:8" ht="20" x14ac:dyDescent="0.2">
      <c r="A3" s="32" t="s">
        <v>67</v>
      </c>
      <c r="B3" s="67" t="s">
        <v>68</v>
      </c>
      <c r="C3" s="67"/>
      <c r="D3" s="38" t="s">
        <v>69</v>
      </c>
      <c r="E3" s="49"/>
      <c r="F3" s="50"/>
      <c r="G3" s="50"/>
      <c r="H3" s="51"/>
    </row>
    <row r="4" spans="1:8" ht="20" x14ac:dyDescent="0.2">
      <c r="A4" s="33" t="s">
        <v>70</v>
      </c>
      <c r="B4" s="68" t="s">
        <v>71</v>
      </c>
      <c r="C4" s="68"/>
      <c r="D4" s="39" t="s">
        <v>72</v>
      </c>
      <c r="E4" s="49"/>
      <c r="F4" s="50"/>
      <c r="G4" s="50"/>
      <c r="H4" s="51"/>
    </row>
    <row r="5" spans="1:8" ht="20" x14ac:dyDescent="0.2">
      <c r="A5" s="34" t="s">
        <v>73</v>
      </c>
      <c r="B5" s="69" t="s">
        <v>74</v>
      </c>
      <c r="C5" s="69"/>
      <c r="D5" s="40" t="s">
        <v>75</v>
      </c>
      <c r="E5" s="49"/>
      <c r="F5" s="50"/>
      <c r="G5" s="50"/>
      <c r="H5" s="51"/>
    </row>
    <row r="6" spans="1:8" ht="20" x14ac:dyDescent="0.2">
      <c r="A6" s="35" t="s">
        <v>76</v>
      </c>
      <c r="B6" s="63" t="s">
        <v>77</v>
      </c>
      <c r="C6" s="63"/>
      <c r="D6" s="41" t="s">
        <v>78</v>
      </c>
      <c r="E6" s="49"/>
      <c r="F6" s="50"/>
      <c r="G6" s="50"/>
      <c r="H6" s="51"/>
    </row>
    <row r="7" spans="1:8" ht="20" x14ac:dyDescent="0.2">
      <c r="A7" s="36" t="s">
        <v>79</v>
      </c>
      <c r="B7" s="64" t="s">
        <v>80</v>
      </c>
      <c r="C7" s="64"/>
      <c r="D7" s="42" t="s">
        <v>81</v>
      </c>
      <c r="E7" s="49"/>
      <c r="F7" s="50"/>
      <c r="G7" s="50"/>
      <c r="H7" s="51"/>
    </row>
    <row r="8" spans="1:8" ht="19" x14ac:dyDescent="0.25">
      <c r="A8" s="31"/>
      <c r="B8" s="31"/>
      <c r="C8" s="31"/>
      <c r="D8" s="31"/>
      <c r="E8" s="49"/>
      <c r="F8" s="50"/>
      <c r="G8" s="50"/>
      <c r="H8" s="51"/>
    </row>
    <row r="9" spans="1:8" ht="41" customHeight="1" x14ac:dyDescent="0.2">
      <c r="A9" s="65" t="s">
        <v>82</v>
      </c>
      <c r="B9" s="65"/>
      <c r="C9" s="65"/>
      <c r="D9" s="65"/>
      <c r="E9" s="49"/>
      <c r="F9" s="50"/>
      <c r="G9" s="50"/>
      <c r="H9" s="51"/>
    </row>
    <row r="10" spans="1:8" ht="29" customHeight="1" x14ac:dyDescent="0.2">
      <c r="A10" s="1" t="s">
        <v>83</v>
      </c>
      <c r="B10" s="2" t="s">
        <v>14</v>
      </c>
      <c r="C10" s="2" t="s">
        <v>15</v>
      </c>
      <c r="D10" s="43" t="s">
        <v>84</v>
      </c>
      <c r="E10" s="49"/>
      <c r="F10" s="50"/>
      <c r="G10" s="50"/>
      <c r="H10" s="51"/>
    </row>
    <row r="11" spans="1:8" ht="38" x14ac:dyDescent="0.2">
      <c r="A11" s="26" t="s">
        <v>85</v>
      </c>
      <c r="B11" s="27">
        <f>COUNTIF('Checklist Cocina'!B16:B21,"X")</f>
        <v>0</v>
      </c>
      <c r="C11" s="27">
        <f>COUNTIF('Checklist Cocina'!C16:C21,"X")</f>
        <v>0</v>
      </c>
      <c r="D11" s="44" t="str">
        <f t="shared" ref="D11:D17" si="0">IFERROR(B11/(B11+C11),"-")</f>
        <v>-</v>
      </c>
      <c r="E11" s="49"/>
      <c r="F11" s="50"/>
      <c r="G11" s="50"/>
      <c r="H11" s="51"/>
    </row>
    <row r="12" spans="1:8" ht="38" x14ac:dyDescent="0.2">
      <c r="A12" s="28" t="s">
        <v>86</v>
      </c>
      <c r="B12" s="29">
        <f>COUNTIF('Checklist Cocina'!B25:B31,"X")</f>
        <v>0</v>
      </c>
      <c r="C12" s="29">
        <f>COUNTIF('Checklist Cocina'!C25:C31,"X")</f>
        <v>0</v>
      </c>
      <c r="D12" s="45" t="str">
        <f t="shared" si="0"/>
        <v>-</v>
      </c>
      <c r="E12" s="49"/>
      <c r="F12" s="50"/>
      <c r="G12" s="50"/>
      <c r="H12" s="51"/>
    </row>
    <row r="13" spans="1:8" ht="38" x14ac:dyDescent="0.2">
      <c r="A13" s="26" t="s">
        <v>87</v>
      </c>
      <c r="B13" s="27">
        <f>COUNTIF('Checklist Cocina'!B35:B41,"X")</f>
        <v>0</v>
      </c>
      <c r="C13" s="27">
        <f>COUNTIF('Checklist Cocina'!C35:C41,"X")</f>
        <v>0</v>
      </c>
      <c r="D13" s="44" t="str">
        <f t="shared" si="0"/>
        <v>-</v>
      </c>
      <c r="E13" s="49"/>
      <c r="F13" s="50"/>
      <c r="G13" s="50"/>
      <c r="H13" s="51"/>
    </row>
    <row r="14" spans="1:8" ht="38" x14ac:dyDescent="0.2">
      <c r="A14" s="28" t="s">
        <v>88</v>
      </c>
      <c r="B14" s="29">
        <f>COUNTIF('Checklist Cocina'!B45:B49,"X")</f>
        <v>0</v>
      </c>
      <c r="C14" s="29">
        <f>COUNTIF('Checklist Cocina'!C45:C49,"X")</f>
        <v>0</v>
      </c>
      <c r="D14" s="45" t="str">
        <f t="shared" si="0"/>
        <v>-</v>
      </c>
      <c r="E14" s="49"/>
      <c r="F14" s="50"/>
      <c r="G14" s="50"/>
      <c r="H14" s="51"/>
    </row>
    <row r="15" spans="1:8" ht="19" x14ac:dyDescent="0.2">
      <c r="A15" s="26" t="s">
        <v>89</v>
      </c>
      <c r="B15" s="27">
        <f>COUNTIF('Checklist Cocina'!B53:B58,"X")</f>
        <v>0</v>
      </c>
      <c r="C15" s="27">
        <f>COUNTIF('Checklist Cocina'!C53:C58,"X")</f>
        <v>0</v>
      </c>
      <c r="D15" s="44" t="str">
        <f t="shared" si="0"/>
        <v>-</v>
      </c>
      <c r="E15" s="49"/>
      <c r="F15" s="50"/>
      <c r="G15" s="50"/>
      <c r="H15" s="51"/>
    </row>
    <row r="16" spans="1:8" ht="38" x14ac:dyDescent="0.2">
      <c r="A16" s="28" t="s">
        <v>90</v>
      </c>
      <c r="B16" s="29">
        <f>COUNTIF('Checklist Cocina'!B62:B66,"X")</f>
        <v>0</v>
      </c>
      <c r="C16" s="29">
        <f>COUNTIF('Checklist Cocina'!C62:C66,"X")</f>
        <v>0</v>
      </c>
      <c r="D16" s="45" t="str">
        <f t="shared" si="0"/>
        <v>-</v>
      </c>
      <c r="E16" s="49"/>
      <c r="F16" s="50"/>
      <c r="G16" s="50"/>
      <c r="H16" s="51"/>
    </row>
    <row r="17" spans="1:8" ht="38" x14ac:dyDescent="0.2">
      <c r="A17" s="26" t="s">
        <v>91</v>
      </c>
      <c r="B17" s="27">
        <f>COUNTIF('Checklist Cocina'!B70:B74,"X")</f>
        <v>0</v>
      </c>
      <c r="C17" s="27">
        <f>COUNTIF('Checklist Cocina'!C70:C74,"X")</f>
        <v>0</v>
      </c>
      <c r="D17" s="44" t="str">
        <f t="shared" si="0"/>
        <v>-</v>
      </c>
      <c r="E17" s="49"/>
      <c r="F17" s="50"/>
      <c r="G17" s="50"/>
      <c r="H17" s="51"/>
    </row>
    <row r="18" spans="1:8" x14ac:dyDescent="0.2">
      <c r="A18" s="8"/>
      <c r="B18" s="8"/>
      <c r="C18" s="8"/>
      <c r="D18" s="8"/>
      <c r="E18" s="49"/>
      <c r="F18" s="50"/>
      <c r="G18" s="50"/>
      <c r="H18" s="51"/>
    </row>
    <row r="19" spans="1:8" x14ac:dyDescent="0.2">
      <c r="A19" s="8"/>
      <c r="B19" s="8"/>
      <c r="C19" s="8"/>
      <c r="D19" s="8"/>
      <c r="E19" s="49"/>
      <c r="F19" s="50"/>
      <c r="G19" s="50"/>
      <c r="H19" s="51"/>
    </row>
    <row r="20" spans="1:8" x14ac:dyDescent="0.2">
      <c r="A20" s="8"/>
      <c r="B20" s="8"/>
      <c r="C20" s="8"/>
      <c r="D20" s="8"/>
      <c r="E20" s="49"/>
      <c r="F20" s="50"/>
      <c r="G20" s="50"/>
      <c r="H20" s="51"/>
    </row>
    <row r="21" spans="1:8" ht="16" thickBot="1" x14ac:dyDescent="0.25">
      <c r="A21" s="8"/>
      <c r="B21" s="8"/>
      <c r="C21" s="8"/>
      <c r="D21" s="8"/>
      <c r="E21" s="52"/>
      <c r="F21" s="53"/>
      <c r="G21" s="53"/>
      <c r="H21" s="54"/>
    </row>
  </sheetData>
  <mergeCells count="8">
    <mergeCell ref="B6:C6"/>
    <mergeCell ref="B7:C7"/>
    <mergeCell ref="A9:D9"/>
    <mergeCell ref="A1:D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Cocina</vt:lpstr>
      <vt:lpstr>Bandas y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Giménez</cp:lastModifiedBy>
  <cp:revision>0</cp:revision>
  <dcterms:created xsi:type="dcterms:W3CDTF">2026-06-13T21:31:10Z</dcterms:created>
  <dcterms:modified xsi:type="dcterms:W3CDTF">2026-07-06T15:48:32Z</dcterms:modified>
  <dc:language>en-US</dc:language>
</cp:coreProperties>
</file>