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gimeto/Desktop/"/>
    </mc:Choice>
  </mc:AlternateContent>
  <xr:revisionPtr revIDLastSave="0" documentId="13_ncr:1_{3C8E8F41-C214-194A-B240-4A37FAA261D0}" xr6:coauthVersionLast="47" xr6:coauthVersionMax="47" xr10:uidLastSave="{00000000-0000-0000-0000-000000000000}"/>
  <bookViews>
    <workbookView xWindow="0" yWindow="760" windowWidth="30240" windowHeight="17640" tabRatio="500" xr2:uid="{00000000-000D-0000-FFFF-FFFF00000000}"/>
  </bookViews>
  <sheets>
    <sheet name="Checklist Hospitalidad" sheetId="1" r:id="rId1"/>
    <sheet name="Bandas y Resume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2" l="1"/>
  <c r="B23" i="2"/>
  <c r="D23" i="2" s="1"/>
  <c r="C22" i="2"/>
  <c r="B22" i="2"/>
  <c r="D22" i="2" s="1"/>
  <c r="C21" i="2"/>
  <c r="B21" i="2"/>
  <c r="D21" i="2" s="1"/>
  <c r="C20" i="2"/>
  <c r="B20" i="2"/>
  <c r="D20" i="2" s="1"/>
  <c r="C19" i="2"/>
  <c r="B19" i="2"/>
  <c r="D19" i="2" s="1"/>
  <c r="C18" i="2"/>
  <c r="B18" i="2"/>
  <c r="D18" i="2" s="1"/>
  <c r="C17" i="2"/>
  <c r="D17" i="2" s="1"/>
  <c r="B17" i="2"/>
  <c r="C16" i="2"/>
  <c r="B16" i="2"/>
  <c r="D16" i="2" s="1"/>
  <c r="C15" i="2"/>
  <c r="B15" i="2"/>
  <c r="D15" i="2" s="1"/>
  <c r="C14" i="2"/>
  <c r="B14" i="2"/>
  <c r="D14" i="2" s="1"/>
  <c r="C13" i="2"/>
  <c r="B13" i="2"/>
  <c r="C12" i="2"/>
  <c r="B12" i="2"/>
  <c r="D12" i="2" s="1"/>
  <c r="C11" i="2"/>
  <c r="B11" i="2"/>
  <c r="D8" i="1"/>
  <c r="B8" i="1"/>
  <c r="D11" i="2" l="1"/>
  <c r="D13" i="2"/>
  <c r="B9" i="1"/>
  <c r="D9" i="1" l="1"/>
  <c r="C10" i="1" s="1"/>
</calcChain>
</file>

<file path=xl/sharedStrings.xml><?xml version="1.0" encoding="utf-8"?>
<sst xmlns="http://schemas.openxmlformats.org/spreadsheetml/2006/main" count="235" uniqueCount="180">
  <si>
    <t>Lista de Verificación — Módulo de Hospitalidad en el Restaurante</t>
  </si>
  <si>
    <t>Restaurante:</t>
  </si>
  <si>
    <t>Fecha:</t>
  </si>
  <si>
    <t>Evaluador:</t>
  </si>
  <si>
    <t>Turno / Servicio:</t>
  </si>
  <si>
    <t>RESULTADO DE LA EVALUACIÓN</t>
  </si>
  <si>
    <t>Total de respuestas SÍ</t>
  </si>
  <si>
    <t>Total de respuestas NO</t>
  </si>
  <si>
    <t>Ítems evaluados (SÍ + NO)</t>
  </si>
  <si>
    <t>% de cumplimiento</t>
  </si>
  <si>
    <t>CALIFICACIÓN FINAL</t>
  </si>
  <si>
    <t>Instrucciones: marque una X en la columna SÍ o NO de cada ítem. Deje en blanco los no aplicables (no se contabilizan). Los totales y la calificación se calculan automáticamente.</t>
  </si>
  <si>
    <t>1.  RECEPCIÓN / HOSTESS</t>
  </si>
  <si>
    <t>Si el restaurante SÍ tiene hostess</t>
  </si>
  <si>
    <t>PREGUNTA</t>
  </si>
  <si>
    <t>SÍ</t>
  </si>
  <si>
    <t>NO</t>
  </si>
  <si>
    <t>OBSERVACIONES</t>
  </si>
  <si>
    <t>¿Saluda con contacto visual y una sonrisa genuina?</t>
  </si>
  <si>
    <t>¿Pregunta si el cliente tiene reserva y a nombre de quién?</t>
  </si>
  <si>
    <t>¿Confirma el número de comensales antes de asignar la mesa?</t>
  </si>
  <si>
    <t>¿Acompaña al cliente hasta la mesa (no se limita a señalarla)?</t>
  </si>
  <si>
    <t>¿Ofrece guardar abrigos o pertenencias cuando corresponde?</t>
  </si>
  <si>
    <t>¿Informa un tiempo estimado cuando no hay mesa disponible?</t>
  </si>
  <si>
    <t>¿Gestiona la lista de espera de forma ordenada y visible?</t>
  </si>
  <si>
    <t>¿Mantiene postura y vestimenta acordes al estándar de la marca?</t>
  </si>
  <si>
    <t>¿La experiencia de bienvenida generó en el cliente la sensación de ser esperado?</t>
  </si>
  <si>
    <t>Si el restaurante NO tiene hostess</t>
  </si>
  <si>
    <t>¿Existe un protocolo claro de quién recibe al cliente al ingresar?</t>
  </si>
  <si>
    <t>¿Existe un protocolo de ubicación de los mozos que evite que se concentren en el fondo del salón o agrupados conversando?</t>
  </si>
  <si>
    <t>¿Hay siempre, al menos, un mozo con la función de observar la puerta de entrada?</t>
  </si>
  <si>
    <t>¿El equipo sabe qué hacer al ver ingresar a un cliente aun estando ocupado: saludarlo y avisarle que será atendido enseguida, sin dejarlo esperando sin contacto?</t>
  </si>
  <si>
    <t>¿Algún miembro del equipo saluda al cliente en los primeros 30 segundos?</t>
  </si>
  <si>
    <t>¿Hay señalización clara que indique si debe esperar o sentarse?</t>
  </si>
  <si>
    <t>¿Se asigna la mesa según la rotación y la carga de cada sección?</t>
  </si>
  <si>
    <t>¿El cliente recibe contacto visual aunque el personal esté ocupado?</t>
  </si>
  <si>
    <t>¿Existe un punto de bienvenida definido (barra, caja, atril)?</t>
  </si>
  <si>
    <t>2.  EN LA MESA</t>
  </si>
  <si>
    <t>¿Se consulta al cliente si es su primera visita o si ya conoce la casa?</t>
  </si>
  <si>
    <t>¿La respuesta se registra en el sistema (POS/CRM) para diferenciar al cliente nuevo del recurrente?</t>
  </si>
  <si>
    <t>¿Ese dato se utiliza para medir la captación de clientes nuevos y la recompra?</t>
  </si>
  <si>
    <t>¿La mesa está limpia, nivelada y completamente montada al sentarse el cliente?</t>
  </si>
  <si>
    <t>¿El mozo se presenta por su nombre al llegar a la mesa?</t>
  </si>
  <si>
    <t>¿Se ofrece agua o bebida de bienvenida en el primer acercamiento?</t>
  </si>
  <si>
    <t>¿Se retiran los cubiertos o sillas sobrantes según el número de comensales?</t>
  </si>
  <si>
    <t>¿El trato se adapta a la composición de la mesa (niños, mayores, etc.)?</t>
  </si>
  <si>
    <t>¿La mesa cuenta con todos los elementos necesarios (servilletas, condimentos)?</t>
  </si>
  <si>
    <t>¿Se atiende de forma proactiva a personas con necesidades especiales?</t>
  </si>
  <si>
    <t>3.  EL MENÚ / LA CARTA</t>
  </si>
  <si>
    <t>¿La carta se entrega limpia, sin manchas ni desgaste?</t>
  </si>
  <si>
    <t>¿La carta está actualizada (sin platos tachados ni precios corregidos a mano)?</t>
  </si>
  <si>
    <t>¿El mozo conoce los platos y puede describir ingredientes y preparación?</t>
  </si>
  <si>
    <t>¿Se informa proactivamente sobre los platos no disponibles ese día?</t>
  </si>
  <si>
    <t>¿Se entrega la carta con una breve orientación al cliente?</t>
  </si>
  <si>
    <t>¿Existe información de alérgenos u opciones especiales disponible?</t>
  </si>
  <si>
    <t>¿El personal pregunta por restricciones alimentarias o alergias?</t>
  </si>
  <si>
    <t>4.  LA OFERTA / VENTA SUGESTIVA</t>
  </si>
  <si>
    <t>¿El mozo sugiere especialidades de la casa o platos del día?</t>
  </si>
  <si>
    <t>¿El mozo identifica los platos estrella de la carta (mayor margen y rotación)?</t>
  </si>
  <si>
    <t>¿El mozo conoce qué platos entregan mayor beneficio al restaurante?</t>
  </si>
  <si>
    <t>¿Existe un protocolo definido para priorizar la oferta de esos platos estrella?</t>
  </si>
  <si>
    <t>¿Se ofrece maridaje de bebidas con los platos elegidos?</t>
  </si>
  <si>
    <t>¿Se aplican técnicas de venta sugestiva (entradas, guarniciones, postres)?</t>
  </si>
  <si>
    <t>¿Las sugerencias se basan en margen y rotación, y no son al azar?</t>
  </si>
  <si>
    <t>¿Se describen los platos de forma apetecible (lenguaje sensorial)?</t>
  </si>
  <si>
    <t>¿El mozo está preparado para explicar la experiencia gastronómica que propone el restaurante?</t>
  </si>
  <si>
    <t>¿El mozo conoce la historia y los valores de la marca del restaurante?</t>
  </si>
  <si>
    <t>¿El mozo conoce y sabe transmitir el storytelling del restaurante?</t>
  </si>
  <si>
    <t>¿El mozo escuchó activamente las necesidades o deseos del cliente antes de sugerir?</t>
  </si>
  <si>
    <t>¿Se ofrece una entrada o aperitivo mientras el cliente decide el pedido?</t>
  </si>
  <si>
    <t>5.  LEVANTANDO EL PEDIDO (toma de comanda)</t>
  </si>
  <si>
    <t>¿El mozo confirma estar listo para tomar el pedido sin presionar al cliente?</t>
  </si>
  <si>
    <t>¿Se anota el pedido siguiendo un orden lógico de mesa (sentido horario)?</t>
  </si>
  <si>
    <t>¿El mozo repite el pedido para confirmarlo antes de retirarse?</t>
  </si>
  <si>
    <t>¿Se consulta punto de cocción, acompañamientos y preferencias?</t>
  </si>
  <si>
    <t>¿Se registran las alergias o pedidos especiales en la comanda?</t>
  </si>
  <si>
    <t>¿El pedido se ingresa al sistema (POS) inmediatamente tras tomarlo?</t>
  </si>
  <si>
    <t>¿Se informa un tiempo aproximado de espera cuando aplica?</t>
  </si>
  <si>
    <t>6.  SERVICIO DE BEBIDAS Y ALIMENTOS</t>
  </si>
  <si>
    <t>¿Las bebidas se sirven antes que los alimentos?</t>
  </si>
  <si>
    <t>¿El mozo sabe abrir y presentar una botella de vino según el protocolo (presentación de la etiqueta, descorche, cata y servido)?</t>
  </si>
  <si>
    <t>¿El mozo conoce la carta de tragos y cócteles del bar para poder sugerirlos?</t>
  </si>
  <si>
    <t>¿Los platos se sirven a la temperatura y presentación correctas?</t>
  </si>
  <si>
    <t>¿Se respeta el protocolo de servir y retirar (según el estándar de la casa)?</t>
  </si>
  <si>
    <t>¿El mozo aplica el protocolo de servicio en la entrega de platos (lado correcto, secuencia y manejo de la vajilla)?</t>
  </si>
  <si>
    <t>¿El mozo mantiene una postura corporal adecuada al servir (espalda recta, sin apoyarse en las mesas, manejo correcto de la bandeja)?</t>
  </si>
  <si>
    <t>¿El mozo nombra el plato al colocarlo frente al cliente?</t>
  </si>
  <si>
    <t>¿Se sirven los platos de la mesa de forma coordinada (sin demoras entre comensales)?</t>
  </si>
  <si>
    <t>¿Se verifica que el cliente tenga todo lo necesario tras servir (marcaje)?</t>
  </si>
  <si>
    <t>7.  SEGUIMIENTO DURANTE LA COMIDA</t>
  </si>
  <si>
    <t>¿Se realiza el chequeo de satisfacción en los primeros minutos?</t>
  </si>
  <si>
    <t>¿Se rellenan las bebidas o el agua sin que el cliente lo solicite?</t>
  </si>
  <si>
    <t>¿Se retiran los platos vacíos de forma oportuna, sin apurar al cliente?</t>
  </si>
  <si>
    <t>¿El mozo mantiene la mesa limpia y ordenada (migas, vajilla sucia)?</t>
  </si>
  <si>
    <t>¿El personal está atento a las señales del cliente sin invadir?</t>
  </si>
  <si>
    <t>¿Se gestionan quejas o incidencias con rapidez y sin discusión?</t>
  </si>
  <si>
    <t>8.  MANEJO DE QUEJAS Y RECUPERACIÓN DE SERVICIO</t>
  </si>
  <si>
    <t>¿El mozo está preparado para recibir una queja sin ponerse a la defensiva?</t>
  </si>
  <si>
    <t>¿El personal escucha el reclamo completo antes de responder y se disculpa cuando corresponde?</t>
  </si>
  <si>
    <t>¿Existe un protocolo claro de recuperación del servicio ante un error (reposición, compensación, seguimiento)?</t>
  </si>
  <si>
    <t>¿El personal sabe manejar a un cliente molesto o agresivo manteniendo la calma y el respeto?</t>
  </si>
  <si>
    <t>¿El equipo sabe cuándo escalar la situación a un encargado o gerente?</t>
  </si>
  <si>
    <t>¿Las quejas se resuelven en el momento, sin trasladar el problema al cliente?</t>
  </si>
  <si>
    <t>¿Se mantiene la cortesía y el criterio ante reclamos injustificados o falta de razón del cliente?</t>
  </si>
  <si>
    <t>¿Se registra la queja para analizar las causas y evitar que se repita?</t>
  </si>
  <si>
    <t>¿El personal logra recuperar la satisfacción del cliente antes de que se retire?</t>
  </si>
  <si>
    <t>¿Existe seguimiento posterior a una queja relevante (contacto, disculpa, invitación a regresar)?</t>
  </si>
  <si>
    <t>9.  EL CIERRE Y LA CUENTA</t>
  </si>
  <si>
    <t>¿Se ofrece postre, café o digestivo antes de cerrar la mesa?</t>
  </si>
  <si>
    <t>¿La cuenta se entrega con prontitud al ser solicitada?</t>
  </si>
  <si>
    <t>¿La cuenta es clara, detallada y sin errores?</t>
  </si>
  <si>
    <t>¿Se ofrecen distintos medios de pago (efectivo, tarjeta, QR)?</t>
  </si>
  <si>
    <t>¿El cobro se realiza de forma ágil y discreta?</t>
  </si>
  <si>
    <t>¿Se entrega el comprobante o la factura correctamente?</t>
  </si>
  <si>
    <t>10.  LA DESPEDIDA</t>
  </si>
  <si>
    <t>¿El mozo agradece la visita de forma personalizada?</t>
  </si>
  <si>
    <t>¿Algún miembro del equipo despide al cliente en la salida?</t>
  </si>
  <si>
    <t>¿Se invita al cliente a regresar o se menciona alguna acción futura?</t>
  </si>
  <si>
    <t>¿Se ofrece ayuda con abrigos o pertenencias al retirarse?</t>
  </si>
  <si>
    <t>¿La despedida transmite calidez genuina y no resulta mecánica?</t>
  </si>
  <si>
    <t>11.  HOSPITALIDAD Y CONEXIÓN EMOCIONAL</t>
  </si>
  <si>
    <t>¿El equipo utiliza el nombre del cliente durante la interacción cuando lo conoce?</t>
  </si>
  <si>
    <t>¿Las interacciones transmiten empatía y atención genuina hacia el cliente?</t>
  </si>
  <si>
    <t>¿El personal proyecta energía positiva y entusiasmo durante el servicio?</t>
  </si>
  <si>
    <t>¿El cliente es tratado como un invitado y no como una transacción?</t>
  </si>
  <si>
    <t>¿El personal lee el estado de ánimo del cliente y adapta el trato (reunión de trabajo, cita, celebración)?</t>
  </si>
  <si>
    <t>¿Se generan momentos memorables o detalles inesperados que sorprenden al cliente?</t>
  </si>
  <si>
    <t>¿Se celebran las ocasiones especiales (cumpleaños, aniversarios) de forma personalizada?</t>
  </si>
  <si>
    <t>¿Se cuidan los detalles sensoriales (aroma, presentación, música, contacto visual) que enriquecen la experiencia?</t>
  </si>
  <si>
    <t>¿El lenguaje verbal y no verbal del equipo refuerza la calidez y la cercanía?</t>
  </si>
  <si>
    <t>¿El cliente percibe una atención auténtica y no un guion mecánico?</t>
  </si>
  <si>
    <t>12.  PRESENTACIÓN E HIGIENE DEL PERSONAL</t>
  </si>
  <si>
    <t>¿El uniforme está limpio, completo y en buen estado?</t>
  </si>
  <si>
    <t>¿El personal mantiene una higiene personal adecuada (manos, cabello, uñas)?</t>
  </si>
  <si>
    <t>¿El personal usa identificación o nombre visible?</t>
  </si>
  <si>
    <t>¿El lenguaje corporal del equipo es atento y profesional?</t>
  </si>
  <si>
    <t>¿El personal evita conversaciones privadas o el uso del celular en el salón?</t>
  </si>
  <si>
    <t>13.  AMBIENTE Y ATMÓSFERA</t>
  </si>
  <si>
    <t>¿La música y el volumen son adecuados al concepto y al horario?</t>
  </si>
  <si>
    <t>¿La iluminación es la apropiada para el momento del servicio?</t>
  </si>
  <si>
    <t>¿La temperatura del salón es confortable?</t>
  </si>
  <si>
    <t>¿Los baños están limpios, abastecidos y se revisan periódicamente?</t>
  </si>
  <si>
    <t>¿El salón está limpio, ordenado y libre de olores desagradables?</t>
  </si>
  <si>
    <t>BANDAS DE CALIFICACIÓN</t>
  </si>
  <si>
    <t>Calificación</t>
  </si>
  <si>
    <t>Acción</t>
  </si>
  <si>
    <t>Mayor o igual a 90%</t>
  </si>
  <si>
    <t>Excelente</t>
  </si>
  <si>
    <t>Sostener y documentar</t>
  </si>
  <si>
    <t>75% – 89%</t>
  </si>
  <si>
    <t>Muy bueno</t>
  </si>
  <si>
    <t>Ajustar pendientes</t>
  </si>
  <si>
    <t>60% – 74%</t>
  </si>
  <si>
    <t>Aceptable</t>
  </si>
  <si>
    <t>Plan de mejora</t>
  </si>
  <si>
    <t>40% – 59%</t>
  </si>
  <si>
    <t>Riesgo de pérdida de clientes</t>
  </si>
  <si>
    <t>Intervención prioritaria</t>
  </si>
  <si>
    <t>Menor a 40%</t>
  </si>
  <si>
    <t>Servicio crítico – intervención inmediata</t>
  </si>
  <si>
    <t>Acción urgente</t>
  </si>
  <si>
    <t>RESUMEN POR CATEGORÍA</t>
  </si>
  <si>
    <t>Categoría</t>
  </si>
  <si>
    <t>% Cumpl.</t>
  </si>
  <si>
    <t>1. RECEPCIÓN / HOSTESS</t>
  </si>
  <si>
    <t>2. EN LA MESA</t>
  </si>
  <si>
    <t>3. EL MENÚ / LA CARTA</t>
  </si>
  <si>
    <t>4. LA OFERTA / VENTA SUGESTIVA</t>
  </si>
  <si>
    <t>5. LEVANTANDO EL PEDIDO (toma de comanda)</t>
  </si>
  <si>
    <t>6. SERVICIO DE BEBIDAS Y ALIMENTOS</t>
  </si>
  <si>
    <t>7. SEGUIMIENTO DURANTE LA COMIDA</t>
  </si>
  <si>
    <t>8. MANEJO DE QUEJAS Y RECUPERACIÓN DE SERVICIO</t>
  </si>
  <si>
    <t>9. EL CIERRE Y LA CUENTA</t>
  </si>
  <si>
    <t>10. LA DESPEDIDA</t>
  </si>
  <si>
    <t>11. HOSPITALIDAD Y CONEXIÓN EMOCIONAL</t>
  </si>
  <si>
    <t>12. PRESENTACIÓN E HIGIENE DEL PERSONAL</t>
  </si>
  <si>
    <t>13. AMBIENTE Y ATMÓSFERA</t>
  </si>
  <si>
    <t>hostess recibe al cliente em menos de 30 segundos</t>
  </si>
  <si>
    <t>La bienvenida genero em el cliente la sensacion de SER ESPERADO?</t>
  </si>
  <si>
    <t>HOSPITALIDAD. GPS GASTRONOMICO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</si>
</sst>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 x14ac:knownFonts="1">
    <font>
      <sz val="11"/>
      <color theme="1"/>
      <name val="Calibri"/>
      <family val="2"/>
      <charset val="1"/>
    </font>
    <font>
      <sz val="10"/>
      <color rgb="FF1A1A1A"/>
      <name val="Arial"/>
      <family val="2"/>
    </font>
    <font>
      <b/>
      <sz val="12"/>
      <color rgb="FFFFFFFF"/>
      <name val="Arial"/>
      <family val="2"/>
    </font>
    <font>
      <b/>
      <sz val="12"/>
      <color rgb="FF1A1A1A"/>
      <name val="Arial"/>
      <family val="2"/>
    </font>
    <font>
      <b/>
      <sz val="10"/>
      <color rgb="FF0F8B8D"/>
      <name val="Arial"/>
      <family val="2"/>
    </font>
    <font>
      <b/>
      <sz val="9"/>
      <color rgb="FFFFFFFF"/>
      <name val="Arial"/>
      <family val="2"/>
    </font>
    <font>
      <b/>
      <sz val="10"/>
      <color rgb="FFC0392B"/>
      <name val="Arial"/>
      <family val="2"/>
    </font>
    <font>
      <b/>
      <sz val="10"/>
      <color rgb="FF1A1A1A"/>
      <name val="Arial"/>
      <family val="2"/>
    </font>
    <font>
      <sz val="9"/>
      <color rgb="FF1A1A1A"/>
      <name val="Arial"/>
      <family val="2"/>
    </font>
    <font>
      <b/>
      <sz val="14"/>
      <color rgb="FFFFFFFF"/>
      <name val="Arial"/>
      <family val="2"/>
    </font>
    <font>
      <sz val="14"/>
      <color theme="1"/>
      <name val="Calibri"/>
      <family val="2"/>
      <charset val="1"/>
    </font>
    <font>
      <sz val="14"/>
      <color rgb="FF1A1A1A"/>
      <name val="Arial"/>
      <family val="2"/>
    </font>
    <font>
      <b/>
      <sz val="16"/>
      <color rgb="FF0F8B8D"/>
      <name val="Arial"/>
      <family val="2"/>
    </font>
    <font>
      <b/>
      <sz val="14"/>
      <color rgb="FF0F8B8D"/>
      <name val="Arial"/>
      <family val="2"/>
    </font>
    <font>
      <b/>
      <sz val="14"/>
      <color rgb="FFC0392B"/>
      <name val="Arial"/>
      <family val="2"/>
    </font>
    <font>
      <b/>
      <sz val="16"/>
      <color rgb="FF0A2540"/>
      <name val="Arial"/>
      <family val="2"/>
    </font>
    <font>
      <b/>
      <sz val="16"/>
      <color rgb="FF1A1A1A"/>
      <name val="Arial"/>
      <family val="2"/>
    </font>
    <font>
      <b/>
      <sz val="16"/>
      <color rgb="FFFFFFFF"/>
      <name val="Arial"/>
      <family val="2"/>
    </font>
    <font>
      <b/>
      <sz val="14"/>
      <color rgb="FF0A2540"/>
      <name val="Arial"/>
      <family val="2"/>
    </font>
    <font>
      <b/>
      <sz val="18"/>
      <color rgb="FF0F8B8D"/>
      <name val="Arial"/>
      <family val="2"/>
    </font>
    <font>
      <b/>
      <i/>
      <sz val="14"/>
      <color rgb="FFFF0000"/>
      <name val="Arial"/>
      <family val="2"/>
    </font>
    <font>
      <b/>
      <sz val="22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A2540"/>
        <bgColor rgb="FF1A1A1A"/>
      </patternFill>
    </fill>
    <fill>
      <patternFill patternType="solid">
        <fgColor rgb="FFEAF2F2"/>
        <bgColor rgb="FFE6F4EE"/>
      </patternFill>
    </fill>
    <fill>
      <patternFill patternType="solid">
        <fgColor rgb="FF0F8B8D"/>
        <bgColor rgb="FF1E8449"/>
      </patternFill>
    </fill>
    <fill>
      <patternFill patternType="solid">
        <fgColor rgb="FF5A6B7B"/>
        <bgColor rgb="FF808080"/>
      </patternFill>
    </fill>
    <fill>
      <patternFill patternType="solid">
        <fgColor rgb="FFFFFFFF"/>
        <bgColor rgb="FFFBF3DA"/>
      </patternFill>
    </fill>
    <fill>
      <patternFill patternType="solid">
        <fgColor rgb="FFDCF1E6"/>
        <bgColor rgb="FFE6F4EE"/>
      </patternFill>
    </fill>
    <fill>
      <patternFill patternType="solid">
        <fgColor rgb="FFE6F4EE"/>
        <bgColor rgb="FFEAF2F2"/>
      </patternFill>
    </fill>
    <fill>
      <patternFill patternType="solid">
        <fgColor rgb="FFFBF3DA"/>
        <bgColor rgb="FFEAF2F2"/>
      </patternFill>
    </fill>
    <fill>
      <patternFill patternType="solid">
        <fgColor rgb="FFFBE3D4"/>
        <bgColor rgb="FFF7D7D7"/>
      </patternFill>
    </fill>
    <fill>
      <patternFill patternType="solid">
        <fgColor rgb="FFF7D7D7"/>
        <bgColor rgb="FFFBE3D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C7D2D9"/>
      </left>
      <right style="thin">
        <color rgb="FFC7D2D9"/>
      </right>
      <top style="thin">
        <color rgb="FFC7D2D9"/>
      </top>
      <bottom style="thin">
        <color rgb="FFC7D2D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7D2D9"/>
      </left>
      <right style="thin">
        <color rgb="FFC7D2D9"/>
      </right>
      <top style="thin">
        <color rgb="FFC7D2D9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11" fillId="6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8" fillId="0" borderId="0" xfId="0" applyFont="1" applyAlignment="1">
      <alignment horizontal="right" vertical="center"/>
    </xf>
    <xf numFmtId="0" fontId="15" fillId="3" borderId="5" xfId="0" applyFont="1" applyFill="1" applyBorder="1" applyAlignment="1">
      <alignment horizontal="right" vertical="center"/>
    </xf>
    <xf numFmtId="164" fontId="16" fillId="0" borderId="5" xfId="0" applyNumberFormat="1" applyFont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21" fillId="13" borderId="2" xfId="0" applyFont="1" applyFill="1" applyBorder="1" applyAlignment="1">
      <alignment horizontal="left" vertical="center"/>
    </xf>
    <xf numFmtId="0" fontId="21" fillId="13" borderId="3" xfId="0" applyFont="1" applyFill="1" applyBorder="1" applyAlignment="1">
      <alignment horizontal="left" vertical="center"/>
    </xf>
    <xf numFmtId="0" fontId="21" fillId="13" borderId="4" xfId="0" applyFont="1" applyFill="1" applyBorder="1" applyAlignment="1">
      <alignment horizontal="left" vertical="center"/>
    </xf>
    <xf numFmtId="0" fontId="3" fillId="14" borderId="2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sz val="12"/>
        <color rgb="FFFFFFFF"/>
        <name val="Arial"/>
        <charset val="1"/>
      </font>
      <fill>
        <patternFill>
          <bgColor rgb="FFC0392B"/>
        </patternFill>
      </fill>
    </dxf>
    <dxf>
      <font>
        <b/>
        <sz val="12"/>
        <color rgb="FFFFFFFF"/>
        <name val="Arial"/>
        <charset val="1"/>
      </font>
      <fill>
        <patternFill>
          <bgColor rgb="FFE67E22"/>
        </patternFill>
      </fill>
    </dxf>
    <dxf>
      <font>
        <b/>
        <sz val="12"/>
        <color rgb="FFFFFFFF"/>
        <name val="Arial"/>
        <charset val="1"/>
      </font>
      <fill>
        <patternFill>
          <bgColor rgb="FFC9A227"/>
        </patternFill>
      </fill>
    </dxf>
    <dxf>
      <font>
        <b/>
        <sz val="12"/>
        <color rgb="FFFFFFFF"/>
        <name val="Arial"/>
        <charset val="1"/>
      </font>
      <fill>
        <patternFill>
          <bgColor rgb="FF27AE60"/>
        </patternFill>
      </fill>
    </dxf>
    <dxf>
      <font>
        <b/>
        <sz val="12"/>
        <color rgb="FFFFFFFF"/>
        <name val="Arial"/>
        <charset val="1"/>
      </font>
      <fill>
        <patternFill>
          <bgColor rgb="FF1E844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8B8D"/>
      <rgbColor rgb="FFC0C0C0"/>
      <rgbColor rgb="FF808080"/>
      <rgbColor rgb="FF9999FF"/>
      <rgbColor rgb="FF993366"/>
      <rgbColor rgb="FFFBF3DA"/>
      <rgbColor rgb="FFDCF1E6"/>
      <rgbColor rgb="FF660066"/>
      <rgbColor rgb="FFFF8080"/>
      <rgbColor rgb="FF0066CC"/>
      <rgbColor rgb="FFC7D2D9"/>
      <rgbColor rgb="FF000080"/>
      <rgbColor rgb="FFFF00FF"/>
      <rgbColor rgb="FFFFFF00"/>
      <rgbColor rgb="FF00FFFF"/>
      <rgbColor rgb="FF800080"/>
      <rgbColor rgb="FF800000"/>
      <rgbColor rgb="FF1E8449"/>
      <rgbColor rgb="FF0000FF"/>
      <rgbColor rgb="FF00CCFF"/>
      <rgbColor rgb="FFE6F4EE"/>
      <rgbColor rgb="FFEAF2F2"/>
      <rgbColor rgb="FFFBE3D4"/>
      <rgbColor rgb="FF99CCFF"/>
      <rgbColor rgb="FFFF99CC"/>
      <rgbColor rgb="FFCC99FF"/>
      <rgbColor rgb="FFF7D7D7"/>
      <rgbColor rgb="FF3366FF"/>
      <rgbColor rgb="FF33CCCC"/>
      <rgbColor rgb="FF99CC00"/>
      <rgbColor rgb="FFFFCC00"/>
      <rgbColor rgb="FFC9A227"/>
      <rgbColor rgb="FFE67E22"/>
      <rgbColor rgb="FF5A6B7B"/>
      <rgbColor rgb="FF969696"/>
      <rgbColor rgb="FF0A2540"/>
      <rgbColor rgb="FF27AE60"/>
      <rgbColor rgb="FF003300"/>
      <rgbColor rgb="FF333300"/>
      <rgbColor rgb="FFC0392B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4152900</xdr:colOff>
      <xdr:row>0</xdr:row>
      <xdr:rowOff>76200</xdr:rowOff>
    </xdr:from>
    <xdr:to>
      <xdr:col>3</xdr:col>
      <xdr:colOff>5791200</xdr:colOff>
      <xdr:row>0</xdr:row>
      <xdr:rowOff>1205711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E64A23-2164-CAEF-4291-1DF28B4BA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3300" y="76200"/>
          <a:ext cx="1638300" cy="11295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8"/>
  <sheetViews>
    <sheetView showGridLines="0" tabSelected="1" zoomScaleNormal="100" workbookViewId="0">
      <pane ySplit="12" topLeftCell="A13" activePane="bottomLeft" state="frozen"/>
      <selection pane="bottomLeft" activeCell="C10" sqref="C10:D10"/>
    </sheetView>
  </sheetViews>
  <sheetFormatPr baseColWidth="10" defaultColWidth="8.6640625" defaultRowHeight="15" x14ac:dyDescent="0.2"/>
  <cols>
    <col min="1" max="1" width="78" customWidth="1"/>
    <col min="2" max="2" width="23.5" customWidth="1"/>
    <col min="3" max="3" width="31.83203125" customWidth="1"/>
    <col min="4" max="4" width="77" customWidth="1"/>
  </cols>
  <sheetData>
    <row r="1" spans="1:4" ht="99" customHeight="1" thickBot="1" x14ac:dyDescent="0.25">
      <c r="A1" s="55" t="s">
        <v>179</v>
      </c>
      <c r="B1" s="56"/>
      <c r="C1" s="56"/>
      <c r="D1" s="57"/>
    </row>
    <row r="2" spans="1:4" ht="23" x14ac:dyDescent="0.2">
      <c r="A2" s="45" t="s">
        <v>0</v>
      </c>
      <c r="B2" s="45"/>
      <c r="C2" s="45"/>
      <c r="D2" s="45"/>
    </row>
    <row r="4" spans="1:4" ht="18" x14ac:dyDescent="0.2">
      <c r="A4" s="37" t="s">
        <v>1</v>
      </c>
      <c r="B4" s="38"/>
      <c r="C4" s="39" t="s">
        <v>2</v>
      </c>
      <c r="D4" s="38"/>
    </row>
    <row r="5" spans="1:4" ht="18" x14ac:dyDescent="0.2">
      <c r="A5" s="37" t="s">
        <v>3</v>
      </c>
      <c r="B5" s="38"/>
      <c r="C5" s="39" t="s">
        <v>4</v>
      </c>
      <c r="D5" s="38"/>
    </row>
    <row r="7" spans="1:4" ht="19.5" customHeight="1" x14ac:dyDescent="0.2">
      <c r="A7" s="46" t="s">
        <v>5</v>
      </c>
      <c r="B7" s="46"/>
      <c r="C7" s="46"/>
      <c r="D7" s="46"/>
    </row>
    <row r="8" spans="1:4" ht="20" x14ac:dyDescent="0.2">
      <c r="A8" s="34" t="s">
        <v>6</v>
      </c>
      <c r="B8" s="35">
        <f>COUNTIF(B17:B168,"X")</f>
        <v>0</v>
      </c>
      <c r="C8" s="36" t="s">
        <v>7</v>
      </c>
      <c r="D8" s="35">
        <f>COUNTIF(C17:C168,"X")</f>
        <v>0</v>
      </c>
    </row>
    <row r="9" spans="1:4" ht="21" thickBot="1" x14ac:dyDescent="0.25">
      <c r="A9" s="34" t="s">
        <v>8</v>
      </c>
      <c r="B9" s="35">
        <f>B8+D8</f>
        <v>0</v>
      </c>
      <c r="C9" s="40" t="s">
        <v>9</v>
      </c>
      <c r="D9" s="41">
        <f>IFERROR(B8/B9,0)</f>
        <v>0</v>
      </c>
    </row>
    <row r="10" spans="1:4" ht="25.5" customHeight="1" thickBot="1" x14ac:dyDescent="0.25">
      <c r="A10" s="47" t="s">
        <v>10</v>
      </c>
      <c r="B10" s="47"/>
      <c r="C10" s="58" t="str">
        <f>IF(B9=0,"Sin datos",IF(D9&gt;=0.9,"EXCELENTE",IF(D9&gt;=0.75,"MUY BUENO",IF(D9&gt;=0.6,"ACEPTABLE",IF(D9&gt;=0.4,"RIESGO DE PÉRDIDA DE CLIENTES","SERVICIO CRÍTICO – INTERVENCIÓN INMEDIATA")))))</f>
        <v>Sin datos</v>
      </c>
      <c r="D10" s="59"/>
    </row>
    <row r="12" spans="1:4" ht="34" customHeight="1" x14ac:dyDescent="0.2">
      <c r="A12" s="43" t="s">
        <v>11</v>
      </c>
      <c r="B12" s="43"/>
      <c r="C12" s="43"/>
      <c r="D12" s="43"/>
    </row>
    <row r="13" spans="1:4" ht="19" x14ac:dyDescent="0.25">
      <c r="A13" s="25"/>
      <c r="B13" s="25"/>
      <c r="C13" s="25"/>
      <c r="D13" s="25"/>
    </row>
    <row r="14" spans="1:4" ht="21" customHeight="1" x14ac:dyDescent="0.2">
      <c r="A14" s="42" t="s">
        <v>12</v>
      </c>
      <c r="B14" s="42"/>
      <c r="C14" s="42"/>
      <c r="D14" s="42"/>
    </row>
    <row r="15" spans="1:4" ht="20" x14ac:dyDescent="0.2">
      <c r="A15" s="44" t="s">
        <v>13</v>
      </c>
      <c r="B15" s="44"/>
      <c r="C15" s="44"/>
      <c r="D15" s="44"/>
    </row>
    <row r="16" spans="1:4" ht="18" x14ac:dyDescent="0.2">
      <c r="A16" s="28" t="s">
        <v>14</v>
      </c>
      <c r="B16" s="29" t="s">
        <v>15</v>
      </c>
      <c r="C16" s="29" t="s">
        <v>16</v>
      </c>
      <c r="D16" s="29" t="s">
        <v>17</v>
      </c>
    </row>
    <row r="17" spans="1:4" ht="19" x14ac:dyDescent="0.2">
      <c r="A17" s="26" t="s">
        <v>177</v>
      </c>
      <c r="B17" s="4"/>
      <c r="C17" s="5"/>
      <c r="D17" s="3"/>
    </row>
    <row r="18" spans="1:4" ht="19" x14ac:dyDescent="0.2">
      <c r="A18" s="27" t="s">
        <v>18</v>
      </c>
      <c r="B18" s="7"/>
      <c r="C18" s="8"/>
      <c r="D18" s="6"/>
    </row>
    <row r="19" spans="1:4" ht="19" x14ac:dyDescent="0.2">
      <c r="A19" s="26" t="s">
        <v>19</v>
      </c>
      <c r="B19" s="4"/>
      <c r="C19" s="5"/>
      <c r="D19" s="3"/>
    </row>
    <row r="20" spans="1:4" ht="19" x14ac:dyDescent="0.2">
      <c r="A20" s="27" t="s">
        <v>20</v>
      </c>
      <c r="B20" s="7"/>
      <c r="C20" s="8"/>
      <c r="D20" s="6"/>
    </row>
    <row r="21" spans="1:4" ht="19" x14ac:dyDescent="0.2">
      <c r="A21" s="26" t="s">
        <v>21</v>
      </c>
      <c r="B21" s="4"/>
      <c r="C21" s="5"/>
      <c r="D21" s="3"/>
    </row>
    <row r="22" spans="1:4" ht="19" x14ac:dyDescent="0.2">
      <c r="A22" s="27" t="s">
        <v>22</v>
      </c>
      <c r="B22" s="7"/>
      <c r="C22" s="8"/>
      <c r="D22" s="6"/>
    </row>
    <row r="23" spans="1:4" ht="19" x14ac:dyDescent="0.2">
      <c r="A23" s="26" t="s">
        <v>23</v>
      </c>
      <c r="B23" s="4"/>
      <c r="C23" s="5"/>
      <c r="D23" s="3"/>
    </row>
    <row r="24" spans="1:4" ht="19" x14ac:dyDescent="0.2">
      <c r="A24" s="27" t="s">
        <v>24</v>
      </c>
      <c r="B24" s="7"/>
      <c r="C24" s="8"/>
      <c r="D24" s="6"/>
    </row>
    <row r="25" spans="1:4" ht="19" x14ac:dyDescent="0.2">
      <c r="A25" s="26" t="s">
        <v>25</v>
      </c>
      <c r="B25" s="4"/>
      <c r="C25" s="5"/>
      <c r="D25" s="3"/>
    </row>
    <row r="26" spans="1:4" ht="19" x14ac:dyDescent="0.2">
      <c r="A26" s="27" t="s">
        <v>178</v>
      </c>
      <c r="B26" s="7"/>
      <c r="C26" s="8"/>
      <c r="D26" s="6"/>
    </row>
    <row r="27" spans="1:4" ht="20" x14ac:dyDescent="0.2">
      <c r="A27" s="44" t="s">
        <v>27</v>
      </c>
      <c r="B27" s="44"/>
      <c r="C27" s="44"/>
      <c r="D27" s="44"/>
    </row>
    <row r="28" spans="1:4" ht="18" x14ac:dyDescent="0.2">
      <c r="A28" s="28" t="s">
        <v>14</v>
      </c>
      <c r="B28" s="29" t="s">
        <v>15</v>
      </c>
      <c r="C28" s="29" t="s">
        <v>16</v>
      </c>
      <c r="D28" s="29" t="s">
        <v>17</v>
      </c>
    </row>
    <row r="29" spans="1:4" ht="19" x14ac:dyDescent="0.2">
      <c r="A29" s="26" t="s">
        <v>28</v>
      </c>
      <c r="B29" s="4"/>
      <c r="C29" s="5"/>
      <c r="D29" s="3"/>
    </row>
    <row r="30" spans="1:4" ht="38" x14ac:dyDescent="0.2">
      <c r="A30" s="27" t="s">
        <v>29</v>
      </c>
      <c r="B30" s="7"/>
      <c r="C30" s="8"/>
      <c r="D30" s="6"/>
    </row>
    <row r="31" spans="1:4" ht="38" x14ac:dyDescent="0.2">
      <c r="A31" s="26" t="s">
        <v>30</v>
      </c>
      <c r="B31" s="4"/>
      <c r="C31" s="5"/>
      <c r="D31" s="3"/>
    </row>
    <row r="32" spans="1:4" ht="57" x14ac:dyDescent="0.2">
      <c r="A32" s="27" t="s">
        <v>31</v>
      </c>
      <c r="B32" s="7"/>
      <c r="C32" s="8"/>
      <c r="D32" s="6"/>
    </row>
    <row r="33" spans="1:4" ht="38" x14ac:dyDescent="0.2">
      <c r="A33" s="26" t="s">
        <v>32</v>
      </c>
      <c r="B33" s="4"/>
      <c r="C33" s="5"/>
      <c r="D33" s="3"/>
    </row>
    <row r="34" spans="1:4" ht="19" x14ac:dyDescent="0.2">
      <c r="A34" s="27" t="s">
        <v>33</v>
      </c>
      <c r="B34" s="7"/>
      <c r="C34" s="8"/>
      <c r="D34" s="6"/>
    </row>
    <row r="35" spans="1:4" ht="19" x14ac:dyDescent="0.2">
      <c r="A35" s="26" t="s">
        <v>34</v>
      </c>
      <c r="B35" s="4"/>
      <c r="C35" s="5"/>
      <c r="D35" s="3"/>
    </row>
    <row r="36" spans="1:4" ht="19" x14ac:dyDescent="0.2">
      <c r="A36" s="27" t="s">
        <v>35</v>
      </c>
      <c r="B36" s="7"/>
      <c r="C36" s="8"/>
      <c r="D36" s="6"/>
    </row>
    <row r="37" spans="1:4" ht="19" x14ac:dyDescent="0.2">
      <c r="A37" s="26" t="s">
        <v>36</v>
      </c>
      <c r="B37" s="4"/>
      <c r="C37" s="5"/>
      <c r="D37" s="3"/>
    </row>
    <row r="38" spans="1:4" ht="38" x14ac:dyDescent="0.2">
      <c r="A38" s="27" t="s">
        <v>26</v>
      </c>
      <c r="B38" s="7"/>
      <c r="C38" s="8"/>
      <c r="D38" s="6"/>
    </row>
    <row r="40" spans="1:4" ht="19.5" customHeight="1" x14ac:dyDescent="0.2">
      <c r="A40" s="42" t="s">
        <v>37</v>
      </c>
      <c r="B40" s="42"/>
      <c r="C40" s="42"/>
      <c r="D40" s="42"/>
    </row>
    <row r="41" spans="1:4" ht="18" x14ac:dyDescent="0.2">
      <c r="A41" s="28" t="s">
        <v>14</v>
      </c>
      <c r="B41" s="29" t="s">
        <v>15</v>
      </c>
      <c r="C41" s="29" t="s">
        <v>16</v>
      </c>
      <c r="D41" s="29" t="s">
        <v>17</v>
      </c>
    </row>
    <row r="42" spans="1:4" ht="19" x14ac:dyDescent="0.2">
      <c r="A42" s="26" t="s">
        <v>38</v>
      </c>
      <c r="B42" s="4"/>
      <c r="C42" s="5"/>
      <c r="D42" s="3"/>
    </row>
    <row r="43" spans="1:4" ht="38" x14ac:dyDescent="0.2">
      <c r="A43" s="27" t="s">
        <v>39</v>
      </c>
      <c r="B43" s="7"/>
      <c r="C43" s="8"/>
      <c r="D43" s="6"/>
    </row>
    <row r="44" spans="1:4" ht="38" x14ac:dyDescent="0.2">
      <c r="A44" s="26" t="s">
        <v>40</v>
      </c>
      <c r="B44" s="4"/>
      <c r="C44" s="5"/>
      <c r="D44" s="3"/>
    </row>
    <row r="45" spans="1:4" ht="38" x14ac:dyDescent="0.2">
      <c r="A45" s="27" t="s">
        <v>41</v>
      </c>
      <c r="B45" s="7"/>
      <c r="C45" s="8"/>
      <c r="D45" s="6"/>
    </row>
    <row r="46" spans="1:4" ht="19" x14ac:dyDescent="0.2">
      <c r="A46" s="26" t="s">
        <v>42</v>
      </c>
      <c r="B46" s="4"/>
      <c r="C46" s="5"/>
      <c r="D46" s="3"/>
    </row>
    <row r="47" spans="1:4" ht="19" x14ac:dyDescent="0.2">
      <c r="A47" s="27" t="s">
        <v>43</v>
      </c>
      <c r="B47" s="7"/>
      <c r="C47" s="8"/>
      <c r="D47" s="6"/>
    </row>
    <row r="48" spans="1:4" ht="38" x14ac:dyDescent="0.2">
      <c r="A48" s="26" t="s">
        <v>44</v>
      </c>
      <c r="B48" s="4"/>
      <c r="C48" s="5"/>
      <c r="D48" s="3"/>
    </row>
    <row r="49" spans="1:4" ht="38" x14ac:dyDescent="0.2">
      <c r="A49" s="27" t="s">
        <v>45</v>
      </c>
      <c r="B49" s="7"/>
      <c r="C49" s="8"/>
      <c r="D49" s="6"/>
    </row>
    <row r="50" spans="1:4" ht="38" x14ac:dyDescent="0.2">
      <c r="A50" s="26" t="s">
        <v>46</v>
      </c>
      <c r="B50" s="4"/>
      <c r="C50" s="5"/>
      <c r="D50" s="3"/>
    </row>
    <row r="51" spans="1:4" ht="38" x14ac:dyDescent="0.2">
      <c r="A51" s="27" t="s">
        <v>47</v>
      </c>
      <c r="B51" s="7"/>
      <c r="C51" s="8"/>
      <c r="D51" s="6"/>
    </row>
    <row r="53" spans="1:4" ht="19.5" customHeight="1" x14ac:dyDescent="0.2">
      <c r="A53" s="42" t="s">
        <v>48</v>
      </c>
      <c r="B53" s="42"/>
      <c r="C53" s="42"/>
      <c r="D53" s="42"/>
    </row>
    <row r="54" spans="1:4" ht="18" x14ac:dyDescent="0.2">
      <c r="A54" s="28" t="s">
        <v>14</v>
      </c>
      <c r="B54" s="29" t="s">
        <v>15</v>
      </c>
      <c r="C54" s="29" t="s">
        <v>16</v>
      </c>
      <c r="D54" s="29" t="s">
        <v>17</v>
      </c>
    </row>
    <row r="55" spans="1:4" ht="19" x14ac:dyDescent="0.2">
      <c r="A55" s="26" t="s">
        <v>49</v>
      </c>
      <c r="B55" s="4"/>
      <c r="C55" s="5"/>
      <c r="D55" s="3"/>
    </row>
    <row r="56" spans="1:4" ht="38" x14ac:dyDescent="0.2">
      <c r="A56" s="27" t="s">
        <v>50</v>
      </c>
      <c r="B56" s="7"/>
      <c r="C56" s="8"/>
      <c r="D56" s="6"/>
    </row>
    <row r="57" spans="1:4" ht="38" x14ac:dyDescent="0.2">
      <c r="A57" s="26" t="s">
        <v>51</v>
      </c>
      <c r="B57" s="4"/>
      <c r="C57" s="5"/>
      <c r="D57" s="3"/>
    </row>
    <row r="58" spans="1:4" ht="19" x14ac:dyDescent="0.2">
      <c r="A58" s="27" t="s">
        <v>52</v>
      </c>
      <c r="B58" s="7"/>
      <c r="C58" s="8"/>
      <c r="D58" s="6"/>
    </row>
    <row r="59" spans="1:4" ht="19" x14ac:dyDescent="0.2">
      <c r="A59" s="26" t="s">
        <v>53</v>
      </c>
      <c r="B59" s="4"/>
      <c r="C59" s="5"/>
      <c r="D59" s="3"/>
    </row>
    <row r="60" spans="1:4" ht="19" x14ac:dyDescent="0.2">
      <c r="A60" s="27" t="s">
        <v>54</v>
      </c>
      <c r="B60" s="7"/>
      <c r="C60" s="8"/>
      <c r="D60" s="6"/>
    </row>
    <row r="61" spans="1:4" ht="19" x14ac:dyDescent="0.2">
      <c r="A61" s="26" t="s">
        <v>55</v>
      </c>
      <c r="B61" s="4"/>
      <c r="C61" s="5"/>
      <c r="D61" s="3"/>
    </row>
    <row r="63" spans="1:4" ht="19.5" customHeight="1" x14ac:dyDescent="0.2">
      <c r="A63" s="42" t="s">
        <v>56</v>
      </c>
      <c r="B63" s="42"/>
      <c r="C63" s="42"/>
      <c r="D63" s="42"/>
    </row>
    <row r="64" spans="1:4" ht="18" x14ac:dyDescent="0.2">
      <c r="A64" s="28" t="s">
        <v>14</v>
      </c>
      <c r="B64" s="29" t="s">
        <v>15</v>
      </c>
      <c r="C64" s="29" t="s">
        <v>16</v>
      </c>
      <c r="D64" s="29" t="s">
        <v>17</v>
      </c>
    </row>
    <row r="65" spans="1:4" ht="19" x14ac:dyDescent="0.2">
      <c r="A65" s="26" t="s">
        <v>57</v>
      </c>
      <c r="B65" s="4"/>
      <c r="C65" s="5"/>
      <c r="D65" s="3"/>
    </row>
    <row r="66" spans="1:4" ht="38" x14ac:dyDescent="0.2">
      <c r="A66" s="27" t="s">
        <v>58</v>
      </c>
      <c r="B66" s="7"/>
      <c r="C66" s="8"/>
      <c r="D66" s="6"/>
    </row>
    <row r="67" spans="1:4" ht="19" x14ac:dyDescent="0.2">
      <c r="A67" s="26" t="s">
        <v>59</v>
      </c>
      <c r="B67" s="4"/>
      <c r="C67" s="5"/>
      <c r="D67" s="3"/>
    </row>
    <row r="68" spans="1:4" ht="38" x14ac:dyDescent="0.2">
      <c r="A68" s="27" t="s">
        <v>60</v>
      </c>
      <c r="B68" s="7"/>
      <c r="C68" s="8"/>
      <c r="D68" s="6"/>
    </row>
    <row r="69" spans="1:4" ht="19" x14ac:dyDescent="0.2">
      <c r="A69" s="26" t="s">
        <v>61</v>
      </c>
      <c r="B69" s="4"/>
      <c r="C69" s="5"/>
      <c r="D69" s="3"/>
    </row>
    <row r="70" spans="1:4" ht="38" x14ac:dyDescent="0.2">
      <c r="A70" s="27" t="s">
        <v>62</v>
      </c>
      <c r="B70" s="7"/>
      <c r="C70" s="8"/>
      <c r="D70" s="6"/>
    </row>
    <row r="71" spans="1:4" ht="19" x14ac:dyDescent="0.2">
      <c r="A71" s="26" t="s">
        <v>63</v>
      </c>
      <c r="B71" s="4"/>
      <c r="C71" s="5"/>
      <c r="D71" s="3"/>
    </row>
    <row r="72" spans="1:4" ht="19" x14ac:dyDescent="0.2">
      <c r="A72" s="27" t="s">
        <v>64</v>
      </c>
      <c r="B72" s="7"/>
      <c r="C72" s="8"/>
      <c r="D72" s="6"/>
    </row>
    <row r="73" spans="1:4" ht="38" x14ac:dyDescent="0.2">
      <c r="A73" s="26" t="s">
        <v>65</v>
      </c>
      <c r="B73" s="4"/>
      <c r="C73" s="5"/>
      <c r="D73" s="3"/>
    </row>
    <row r="74" spans="1:4" ht="19" x14ac:dyDescent="0.2">
      <c r="A74" s="27" t="s">
        <v>66</v>
      </c>
      <c r="B74" s="7"/>
      <c r="C74" s="8"/>
      <c r="D74" s="6"/>
    </row>
    <row r="75" spans="1:4" ht="19" x14ac:dyDescent="0.2">
      <c r="A75" s="26" t="s">
        <v>67</v>
      </c>
      <c r="B75" s="4"/>
      <c r="C75" s="5"/>
      <c r="D75" s="3"/>
    </row>
    <row r="76" spans="1:4" ht="38" x14ac:dyDescent="0.2">
      <c r="A76" s="27" t="s">
        <v>68</v>
      </c>
      <c r="B76" s="7"/>
      <c r="C76" s="8"/>
      <c r="D76" s="6"/>
    </row>
    <row r="77" spans="1:4" ht="38" x14ac:dyDescent="0.2">
      <c r="A77" s="26" t="s">
        <v>69</v>
      </c>
      <c r="B77" s="4"/>
      <c r="C77" s="5"/>
      <c r="D77" s="3"/>
    </row>
    <row r="79" spans="1:4" ht="19.5" customHeight="1" x14ac:dyDescent="0.2">
      <c r="A79" s="42" t="s">
        <v>70</v>
      </c>
      <c r="B79" s="42"/>
      <c r="C79" s="42"/>
      <c r="D79" s="42"/>
    </row>
    <row r="80" spans="1:4" ht="18" x14ac:dyDescent="0.2">
      <c r="A80" s="28" t="s">
        <v>14</v>
      </c>
      <c r="B80" s="29" t="s">
        <v>15</v>
      </c>
      <c r="C80" s="29" t="s">
        <v>16</v>
      </c>
      <c r="D80" s="29" t="s">
        <v>17</v>
      </c>
    </row>
    <row r="81" spans="1:4" ht="38" x14ac:dyDescent="0.2">
      <c r="A81" s="26" t="s">
        <v>71</v>
      </c>
      <c r="B81" s="30"/>
      <c r="C81" s="31"/>
      <c r="D81" s="26"/>
    </row>
    <row r="82" spans="1:4" ht="38" x14ac:dyDescent="0.2">
      <c r="A82" s="27" t="s">
        <v>72</v>
      </c>
      <c r="B82" s="32"/>
      <c r="C82" s="33"/>
      <c r="D82" s="27"/>
    </row>
    <row r="83" spans="1:4" ht="19" x14ac:dyDescent="0.2">
      <c r="A83" s="26" t="s">
        <v>73</v>
      </c>
      <c r="B83" s="30"/>
      <c r="C83" s="31"/>
      <c r="D83" s="26"/>
    </row>
    <row r="84" spans="1:4" ht="19" x14ac:dyDescent="0.2">
      <c r="A84" s="27" t="s">
        <v>74</v>
      </c>
      <c r="B84" s="32"/>
      <c r="C84" s="33"/>
      <c r="D84" s="27"/>
    </row>
    <row r="85" spans="1:4" ht="19" x14ac:dyDescent="0.2">
      <c r="A85" s="26" t="s">
        <v>75</v>
      </c>
      <c r="B85" s="30"/>
      <c r="C85" s="31"/>
      <c r="D85" s="26"/>
    </row>
    <row r="86" spans="1:4" ht="19" x14ac:dyDescent="0.2">
      <c r="A86" s="27" t="s">
        <v>76</v>
      </c>
      <c r="B86" s="32"/>
      <c r="C86" s="33"/>
      <c r="D86" s="27"/>
    </row>
    <row r="87" spans="1:4" ht="19" x14ac:dyDescent="0.2">
      <c r="A87" s="26" t="s">
        <v>77</v>
      </c>
      <c r="B87" s="30"/>
      <c r="C87" s="31"/>
      <c r="D87" s="26"/>
    </row>
    <row r="89" spans="1:4" ht="19.5" customHeight="1" x14ac:dyDescent="0.2">
      <c r="A89" s="42" t="s">
        <v>78</v>
      </c>
      <c r="B89" s="42"/>
      <c r="C89" s="42"/>
      <c r="D89" s="42"/>
    </row>
    <row r="90" spans="1:4" ht="18" x14ac:dyDescent="0.2">
      <c r="A90" s="28" t="s">
        <v>14</v>
      </c>
      <c r="B90" s="29" t="s">
        <v>15</v>
      </c>
      <c r="C90" s="29" t="s">
        <v>16</v>
      </c>
      <c r="D90" s="29" t="s">
        <v>17</v>
      </c>
    </row>
    <row r="91" spans="1:4" ht="19" x14ac:dyDescent="0.2">
      <c r="A91" s="26" t="s">
        <v>79</v>
      </c>
      <c r="B91" s="30"/>
      <c r="C91" s="31"/>
      <c r="D91" s="26"/>
    </row>
    <row r="92" spans="1:4" ht="38" x14ac:dyDescent="0.2">
      <c r="A92" s="27" t="s">
        <v>80</v>
      </c>
      <c r="B92" s="32"/>
      <c r="C92" s="33"/>
      <c r="D92" s="27"/>
    </row>
    <row r="93" spans="1:4" ht="38" x14ac:dyDescent="0.2">
      <c r="A93" s="26" t="s">
        <v>81</v>
      </c>
      <c r="B93" s="30"/>
      <c r="C93" s="31"/>
      <c r="D93" s="26"/>
    </row>
    <row r="94" spans="1:4" ht="19" x14ac:dyDescent="0.2">
      <c r="A94" s="27" t="s">
        <v>82</v>
      </c>
      <c r="B94" s="32"/>
      <c r="C94" s="33"/>
      <c r="D94" s="27"/>
    </row>
    <row r="95" spans="1:4" ht="38" x14ac:dyDescent="0.2">
      <c r="A95" s="26" t="s">
        <v>83</v>
      </c>
      <c r="B95" s="30"/>
      <c r="C95" s="31"/>
      <c r="D95" s="26"/>
    </row>
    <row r="96" spans="1:4" ht="38" x14ac:dyDescent="0.2">
      <c r="A96" s="27" t="s">
        <v>84</v>
      </c>
      <c r="B96" s="32"/>
      <c r="C96" s="33"/>
      <c r="D96" s="27"/>
    </row>
    <row r="97" spans="1:4" ht="38" x14ac:dyDescent="0.2">
      <c r="A97" s="26" t="s">
        <v>85</v>
      </c>
      <c r="B97" s="30"/>
      <c r="C97" s="31"/>
      <c r="D97" s="26"/>
    </row>
    <row r="98" spans="1:4" ht="19" x14ac:dyDescent="0.2">
      <c r="A98" s="27" t="s">
        <v>86</v>
      </c>
      <c r="B98" s="32"/>
      <c r="C98" s="33"/>
      <c r="D98" s="27"/>
    </row>
    <row r="99" spans="1:4" ht="38" x14ac:dyDescent="0.2">
      <c r="A99" s="26" t="s">
        <v>87</v>
      </c>
      <c r="B99" s="30"/>
      <c r="C99" s="31"/>
      <c r="D99" s="26"/>
    </row>
    <row r="100" spans="1:4" ht="38" x14ac:dyDescent="0.2">
      <c r="A100" s="27" t="s">
        <v>88</v>
      </c>
      <c r="B100" s="32"/>
      <c r="C100" s="33"/>
      <c r="D100" s="27"/>
    </row>
    <row r="101" spans="1:4" ht="19" x14ac:dyDescent="0.25">
      <c r="A101" s="25"/>
      <c r="B101" s="25"/>
      <c r="C101" s="25"/>
      <c r="D101" s="25"/>
    </row>
    <row r="102" spans="1:4" ht="19.5" customHeight="1" x14ac:dyDescent="0.2">
      <c r="A102" s="42" t="s">
        <v>89</v>
      </c>
      <c r="B102" s="42"/>
      <c r="C102" s="42"/>
      <c r="D102" s="42"/>
    </row>
    <row r="103" spans="1:4" ht="18" x14ac:dyDescent="0.2">
      <c r="A103" s="28" t="s">
        <v>14</v>
      </c>
      <c r="B103" s="29" t="s">
        <v>15</v>
      </c>
      <c r="C103" s="29" t="s">
        <v>16</v>
      </c>
      <c r="D103" s="29" t="s">
        <v>17</v>
      </c>
    </row>
    <row r="104" spans="1:4" ht="19" x14ac:dyDescent="0.2">
      <c r="A104" s="26" t="s">
        <v>90</v>
      </c>
      <c r="B104" s="30"/>
      <c r="C104" s="31"/>
      <c r="D104" s="26"/>
    </row>
    <row r="105" spans="1:4" ht="19" x14ac:dyDescent="0.2">
      <c r="A105" s="27" t="s">
        <v>91</v>
      </c>
      <c r="B105" s="32"/>
      <c r="C105" s="33"/>
      <c r="D105" s="27"/>
    </row>
    <row r="106" spans="1:4" ht="19" x14ac:dyDescent="0.2">
      <c r="A106" s="26" t="s">
        <v>92</v>
      </c>
      <c r="B106" s="30"/>
      <c r="C106" s="31"/>
      <c r="D106" s="26"/>
    </row>
    <row r="107" spans="1:4" ht="19" x14ac:dyDescent="0.2">
      <c r="A107" s="27" t="s">
        <v>93</v>
      </c>
      <c r="B107" s="32"/>
      <c r="C107" s="33"/>
      <c r="D107" s="27"/>
    </row>
    <row r="108" spans="1:4" ht="19" x14ac:dyDescent="0.2">
      <c r="A108" s="26" t="s">
        <v>94</v>
      </c>
      <c r="B108" s="30"/>
      <c r="C108" s="31"/>
      <c r="D108" s="26"/>
    </row>
    <row r="109" spans="1:4" ht="19" x14ac:dyDescent="0.2">
      <c r="A109" s="27" t="s">
        <v>95</v>
      </c>
      <c r="B109" s="32"/>
      <c r="C109" s="33"/>
      <c r="D109" s="27"/>
    </row>
    <row r="110" spans="1:4" ht="19" x14ac:dyDescent="0.25">
      <c r="A110" s="25"/>
      <c r="B110" s="25"/>
      <c r="C110" s="25"/>
      <c r="D110" s="25"/>
    </row>
    <row r="111" spans="1:4" ht="19.5" customHeight="1" x14ac:dyDescent="0.2">
      <c r="A111" s="42" t="s">
        <v>96</v>
      </c>
      <c r="B111" s="42"/>
      <c r="C111" s="42"/>
      <c r="D111" s="42"/>
    </row>
    <row r="112" spans="1:4" ht="18" x14ac:dyDescent="0.2">
      <c r="A112" s="28" t="s">
        <v>14</v>
      </c>
      <c r="B112" s="29" t="s">
        <v>15</v>
      </c>
      <c r="C112" s="29" t="s">
        <v>16</v>
      </c>
      <c r="D112" s="29" t="s">
        <v>17</v>
      </c>
    </row>
    <row r="113" spans="1:4" ht="38" x14ac:dyDescent="0.2">
      <c r="A113" s="26" t="s">
        <v>97</v>
      </c>
      <c r="B113" s="30"/>
      <c r="C113" s="31"/>
      <c r="D113" s="26"/>
    </row>
    <row r="114" spans="1:4" ht="38" x14ac:dyDescent="0.2">
      <c r="A114" s="27" t="s">
        <v>98</v>
      </c>
      <c r="B114" s="32"/>
      <c r="C114" s="33"/>
      <c r="D114" s="27"/>
    </row>
    <row r="115" spans="1:4" ht="38" x14ac:dyDescent="0.2">
      <c r="A115" s="26" t="s">
        <v>99</v>
      </c>
      <c r="B115" s="30"/>
      <c r="C115" s="31"/>
      <c r="D115" s="26"/>
    </row>
    <row r="116" spans="1:4" ht="38" x14ac:dyDescent="0.2">
      <c r="A116" s="27" t="s">
        <v>100</v>
      </c>
      <c r="B116" s="32"/>
      <c r="C116" s="33"/>
      <c r="D116" s="27"/>
    </row>
    <row r="117" spans="1:4" ht="38" x14ac:dyDescent="0.2">
      <c r="A117" s="26" t="s">
        <v>101</v>
      </c>
      <c r="B117" s="30"/>
      <c r="C117" s="31"/>
      <c r="D117" s="26"/>
    </row>
    <row r="118" spans="1:4" ht="38" x14ac:dyDescent="0.2">
      <c r="A118" s="27" t="s">
        <v>102</v>
      </c>
      <c r="B118" s="32"/>
      <c r="C118" s="33"/>
      <c r="D118" s="27"/>
    </row>
    <row r="119" spans="1:4" ht="38" x14ac:dyDescent="0.2">
      <c r="A119" s="26" t="s">
        <v>103</v>
      </c>
      <c r="B119" s="30"/>
      <c r="C119" s="31"/>
      <c r="D119" s="26"/>
    </row>
    <row r="120" spans="1:4" ht="19" x14ac:dyDescent="0.2">
      <c r="A120" s="27" t="s">
        <v>104</v>
      </c>
      <c r="B120" s="32"/>
      <c r="C120" s="33"/>
      <c r="D120" s="27"/>
    </row>
    <row r="121" spans="1:4" ht="38" x14ac:dyDescent="0.2">
      <c r="A121" s="26" t="s">
        <v>105</v>
      </c>
      <c r="B121" s="30"/>
      <c r="C121" s="31"/>
      <c r="D121" s="26"/>
    </row>
    <row r="122" spans="1:4" ht="38" x14ac:dyDescent="0.2">
      <c r="A122" s="27" t="s">
        <v>106</v>
      </c>
      <c r="B122" s="32"/>
      <c r="C122" s="33"/>
      <c r="D122" s="27"/>
    </row>
    <row r="123" spans="1:4" ht="19" x14ac:dyDescent="0.25">
      <c r="A123" s="25"/>
      <c r="B123" s="25"/>
      <c r="C123" s="25"/>
      <c r="D123" s="25"/>
    </row>
    <row r="124" spans="1:4" ht="19.5" customHeight="1" x14ac:dyDescent="0.2">
      <c r="A124" s="42" t="s">
        <v>107</v>
      </c>
      <c r="B124" s="42"/>
      <c r="C124" s="42"/>
      <c r="D124" s="42"/>
    </row>
    <row r="125" spans="1:4" ht="18" x14ac:dyDescent="0.2">
      <c r="A125" s="28" t="s">
        <v>14</v>
      </c>
      <c r="B125" s="29" t="s">
        <v>15</v>
      </c>
      <c r="C125" s="29" t="s">
        <v>16</v>
      </c>
      <c r="D125" s="29" t="s">
        <v>17</v>
      </c>
    </row>
    <row r="126" spans="1:4" ht="19" x14ac:dyDescent="0.2">
      <c r="A126" s="26" t="s">
        <v>108</v>
      </c>
      <c r="B126" s="30"/>
      <c r="C126" s="31"/>
      <c r="D126" s="26"/>
    </row>
    <row r="127" spans="1:4" ht="19" x14ac:dyDescent="0.2">
      <c r="A127" s="27" t="s">
        <v>109</v>
      </c>
      <c r="B127" s="32"/>
      <c r="C127" s="33"/>
      <c r="D127" s="27"/>
    </row>
    <row r="128" spans="1:4" ht="19" x14ac:dyDescent="0.2">
      <c r="A128" s="26" t="s">
        <v>110</v>
      </c>
      <c r="B128" s="30"/>
      <c r="C128" s="31"/>
      <c r="D128" s="26"/>
    </row>
    <row r="129" spans="1:4" ht="19" x14ac:dyDescent="0.2">
      <c r="A129" s="27" t="s">
        <v>111</v>
      </c>
      <c r="B129" s="32"/>
      <c r="C129" s="33"/>
      <c r="D129" s="27"/>
    </row>
    <row r="130" spans="1:4" ht="19" x14ac:dyDescent="0.2">
      <c r="A130" s="26" t="s">
        <v>112</v>
      </c>
      <c r="B130" s="30"/>
      <c r="C130" s="31"/>
      <c r="D130" s="26"/>
    </row>
    <row r="131" spans="1:4" ht="19" x14ac:dyDescent="0.2">
      <c r="A131" s="27" t="s">
        <v>113</v>
      </c>
      <c r="B131" s="32"/>
      <c r="C131" s="33"/>
      <c r="D131" s="27"/>
    </row>
    <row r="132" spans="1:4" ht="19" x14ac:dyDescent="0.25">
      <c r="A132" s="25"/>
      <c r="B132" s="25"/>
      <c r="C132" s="25"/>
      <c r="D132" s="25"/>
    </row>
    <row r="133" spans="1:4" ht="19.5" customHeight="1" x14ac:dyDescent="0.2">
      <c r="A133" s="42" t="s">
        <v>114</v>
      </c>
      <c r="B133" s="42"/>
      <c r="C133" s="42"/>
      <c r="D133" s="42"/>
    </row>
    <row r="134" spans="1:4" ht="18" x14ac:dyDescent="0.2">
      <c r="A134" s="28" t="s">
        <v>14</v>
      </c>
      <c r="B134" s="29" t="s">
        <v>15</v>
      </c>
      <c r="C134" s="29" t="s">
        <v>16</v>
      </c>
      <c r="D134" s="29" t="s">
        <v>17</v>
      </c>
    </row>
    <row r="135" spans="1:4" ht="19" x14ac:dyDescent="0.2">
      <c r="A135" s="26" t="s">
        <v>115</v>
      </c>
      <c r="B135" s="30"/>
      <c r="C135" s="31"/>
      <c r="D135" s="26"/>
    </row>
    <row r="136" spans="1:4" ht="19" x14ac:dyDescent="0.2">
      <c r="A136" s="27" t="s">
        <v>116</v>
      </c>
      <c r="B136" s="32"/>
      <c r="C136" s="33"/>
      <c r="D136" s="27"/>
    </row>
    <row r="137" spans="1:4" ht="19" x14ac:dyDescent="0.2">
      <c r="A137" s="26" t="s">
        <v>117</v>
      </c>
      <c r="B137" s="30"/>
      <c r="C137" s="31"/>
      <c r="D137" s="26"/>
    </row>
    <row r="138" spans="1:4" ht="19" x14ac:dyDescent="0.2">
      <c r="A138" s="27" t="s">
        <v>118</v>
      </c>
      <c r="B138" s="32"/>
      <c r="C138" s="33"/>
      <c r="D138" s="27"/>
    </row>
    <row r="139" spans="1:4" ht="19" x14ac:dyDescent="0.2">
      <c r="A139" s="26" t="s">
        <v>119</v>
      </c>
      <c r="B139" s="30"/>
      <c r="C139" s="31"/>
      <c r="D139" s="26"/>
    </row>
    <row r="140" spans="1:4" ht="19" x14ac:dyDescent="0.25">
      <c r="A140" s="25"/>
      <c r="B140" s="25"/>
      <c r="C140" s="25"/>
      <c r="D140" s="25"/>
    </row>
    <row r="141" spans="1:4" ht="19.5" customHeight="1" x14ac:dyDescent="0.2">
      <c r="A141" s="42" t="s">
        <v>120</v>
      </c>
      <c r="B141" s="42"/>
      <c r="C141" s="42"/>
      <c r="D141" s="42"/>
    </row>
    <row r="142" spans="1:4" ht="18" x14ac:dyDescent="0.2">
      <c r="A142" s="28" t="s">
        <v>14</v>
      </c>
      <c r="B142" s="29" t="s">
        <v>15</v>
      </c>
      <c r="C142" s="29" t="s">
        <v>16</v>
      </c>
      <c r="D142" s="29" t="s">
        <v>17</v>
      </c>
    </row>
    <row r="143" spans="1:4" ht="38" x14ac:dyDescent="0.2">
      <c r="A143" s="26" t="s">
        <v>121</v>
      </c>
      <c r="B143" s="30"/>
      <c r="C143" s="31"/>
      <c r="D143" s="26"/>
    </row>
    <row r="144" spans="1:4" ht="38" x14ac:dyDescent="0.2">
      <c r="A144" s="27" t="s">
        <v>122</v>
      </c>
      <c r="B144" s="32"/>
      <c r="C144" s="33"/>
      <c r="D144" s="27"/>
    </row>
    <row r="145" spans="1:4" ht="38" x14ac:dyDescent="0.2">
      <c r="A145" s="26" t="s">
        <v>123</v>
      </c>
      <c r="B145" s="30"/>
      <c r="C145" s="31"/>
      <c r="D145" s="26"/>
    </row>
    <row r="146" spans="1:4" ht="19" x14ac:dyDescent="0.2">
      <c r="A146" s="27" t="s">
        <v>124</v>
      </c>
      <c r="B146" s="32"/>
      <c r="C146" s="33"/>
      <c r="D146" s="27"/>
    </row>
    <row r="147" spans="1:4" ht="38" x14ac:dyDescent="0.2">
      <c r="A147" s="26" t="s">
        <v>125</v>
      </c>
      <c r="B147" s="30"/>
      <c r="C147" s="31"/>
      <c r="D147" s="26"/>
    </row>
    <row r="148" spans="1:4" ht="38" x14ac:dyDescent="0.2">
      <c r="A148" s="27" t="s">
        <v>126</v>
      </c>
      <c r="B148" s="32"/>
      <c r="C148" s="33"/>
      <c r="D148" s="27"/>
    </row>
    <row r="149" spans="1:4" ht="38" x14ac:dyDescent="0.2">
      <c r="A149" s="26" t="s">
        <v>127</v>
      </c>
      <c r="B149" s="30"/>
      <c r="C149" s="31"/>
      <c r="D149" s="26"/>
    </row>
    <row r="150" spans="1:4" ht="38" x14ac:dyDescent="0.2">
      <c r="A150" s="27" t="s">
        <v>128</v>
      </c>
      <c r="B150" s="32"/>
      <c r="C150" s="33"/>
      <c r="D150" s="27"/>
    </row>
    <row r="151" spans="1:4" ht="38" x14ac:dyDescent="0.2">
      <c r="A151" s="26" t="s">
        <v>129</v>
      </c>
      <c r="B151" s="30"/>
      <c r="C151" s="31"/>
      <c r="D151" s="26"/>
    </row>
    <row r="152" spans="1:4" ht="19" x14ac:dyDescent="0.2">
      <c r="A152" s="27" t="s">
        <v>130</v>
      </c>
      <c r="B152" s="32"/>
      <c r="C152" s="33"/>
      <c r="D152" s="27"/>
    </row>
    <row r="153" spans="1:4" ht="19" x14ac:dyDescent="0.25">
      <c r="A153" s="25"/>
      <c r="B153" s="25"/>
      <c r="C153" s="25"/>
      <c r="D153" s="25"/>
    </row>
    <row r="154" spans="1:4" ht="19.5" customHeight="1" x14ac:dyDescent="0.2">
      <c r="A154" s="42" t="s">
        <v>131</v>
      </c>
      <c r="B154" s="42"/>
      <c r="C154" s="42"/>
      <c r="D154" s="42"/>
    </row>
    <row r="155" spans="1:4" ht="18" x14ac:dyDescent="0.2">
      <c r="A155" s="28" t="s">
        <v>14</v>
      </c>
      <c r="B155" s="29" t="s">
        <v>15</v>
      </c>
      <c r="C155" s="29" t="s">
        <v>16</v>
      </c>
      <c r="D155" s="29" t="s">
        <v>17</v>
      </c>
    </row>
    <row r="156" spans="1:4" ht="19" x14ac:dyDescent="0.2">
      <c r="A156" s="26" t="s">
        <v>132</v>
      </c>
      <c r="B156" s="30"/>
      <c r="C156" s="31"/>
      <c r="D156" s="26"/>
    </row>
    <row r="157" spans="1:4" ht="38" x14ac:dyDescent="0.2">
      <c r="A157" s="27" t="s">
        <v>133</v>
      </c>
      <c r="B157" s="32"/>
      <c r="C157" s="33"/>
      <c r="D157" s="27"/>
    </row>
    <row r="158" spans="1:4" ht="19" x14ac:dyDescent="0.2">
      <c r="A158" s="26" t="s">
        <v>134</v>
      </c>
      <c r="B158" s="30"/>
      <c r="C158" s="31"/>
      <c r="D158" s="26"/>
    </row>
    <row r="159" spans="1:4" ht="19" x14ac:dyDescent="0.2">
      <c r="A159" s="27" t="s">
        <v>135</v>
      </c>
      <c r="B159" s="32"/>
      <c r="C159" s="33"/>
      <c r="D159" s="27"/>
    </row>
    <row r="160" spans="1:4" ht="38" x14ac:dyDescent="0.2">
      <c r="A160" s="26" t="s">
        <v>136</v>
      </c>
      <c r="B160" s="30"/>
      <c r="C160" s="31"/>
      <c r="D160" s="26"/>
    </row>
    <row r="161" spans="1:4" ht="19" x14ac:dyDescent="0.25">
      <c r="A161" s="25"/>
      <c r="B161" s="25"/>
      <c r="C161" s="25"/>
      <c r="D161" s="25"/>
    </row>
    <row r="162" spans="1:4" ht="19.5" customHeight="1" x14ac:dyDescent="0.2">
      <c r="A162" s="42" t="s">
        <v>137</v>
      </c>
      <c r="B162" s="42"/>
      <c r="C162" s="42"/>
      <c r="D162" s="42"/>
    </row>
    <row r="163" spans="1:4" ht="18" x14ac:dyDescent="0.2">
      <c r="A163" s="28" t="s">
        <v>14</v>
      </c>
      <c r="B163" s="29" t="s">
        <v>15</v>
      </c>
      <c r="C163" s="29" t="s">
        <v>16</v>
      </c>
      <c r="D163" s="29" t="s">
        <v>17</v>
      </c>
    </row>
    <row r="164" spans="1:4" ht="19" x14ac:dyDescent="0.2">
      <c r="A164" s="26" t="s">
        <v>138</v>
      </c>
      <c r="B164" s="30"/>
      <c r="C164" s="31"/>
      <c r="D164" s="26"/>
    </row>
    <row r="165" spans="1:4" ht="19" x14ac:dyDescent="0.2">
      <c r="A165" s="27" t="s">
        <v>139</v>
      </c>
      <c r="B165" s="32"/>
      <c r="C165" s="33"/>
      <c r="D165" s="27"/>
    </row>
    <row r="166" spans="1:4" ht="19" x14ac:dyDescent="0.2">
      <c r="A166" s="26" t="s">
        <v>140</v>
      </c>
      <c r="B166" s="30"/>
      <c r="C166" s="31"/>
      <c r="D166" s="26"/>
    </row>
    <row r="167" spans="1:4" ht="19" x14ac:dyDescent="0.2">
      <c r="A167" s="27" t="s">
        <v>141</v>
      </c>
      <c r="B167" s="32"/>
      <c r="C167" s="33"/>
      <c r="D167" s="27"/>
    </row>
    <row r="168" spans="1:4" ht="19" x14ac:dyDescent="0.2">
      <c r="A168" s="26" t="s">
        <v>142</v>
      </c>
      <c r="B168" s="30"/>
      <c r="C168" s="31"/>
      <c r="D168" s="26"/>
    </row>
  </sheetData>
  <mergeCells count="21">
    <mergeCell ref="A1:D1"/>
    <mergeCell ref="A2:D2"/>
    <mergeCell ref="A7:D7"/>
    <mergeCell ref="A10:B10"/>
    <mergeCell ref="C10:D10"/>
    <mergeCell ref="A12:D12"/>
    <mergeCell ref="A14:D14"/>
    <mergeCell ref="A15:D15"/>
    <mergeCell ref="A27:D27"/>
    <mergeCell ref="A40:D40"/>
    <mergeCell ref="A53:D53"/>
    <mergeCell ref="A63:D63"/>
    <mergeCell ref="A79:D79"/>
    <mergeCell ref="A89:D89"/>
    <mergeCell ref="A102:D102"/>
    <mergeCell ref="A162:D162"/>
    <mergeCell ref="A111:D111"/>
    <mergeCell ref="A124:D124"/>
    <mergeCell ref="A133:D133"/>
    <mergeCell ref="A141:D141"/>
    <mergeCell ref="A154:D154"/>
  </mergeCells>
  <conditionalFormatting sqref="C10:D10">
    <cfRule type="expression" dxfId="4" priority="2">
      <formula>EXACT($C$10,"EXCELENTE")</formula>
    </cfRule>
    <cfRule type="expression" dxfId="3" priority="3">
      <formula>EXACT($C$10,"MUY BUENO")</formula>
    </cfRule>
    <cfRule type="expression" dxfId="2" priority="4">
      <formula>EXACT($C$10,"ACEPTABLE")</formula>
    </cfRule>
    <cfRule type="expression" dxfId="1" priority="5">
      <formula>EXACT($C$10,"RIESGO DE PÉRDIDA DE CLIENTES")</formula>
    </cfRule>
    <cfRule type="expression" dxfId="0" priority="6">
      <formula>EXACT($C$10,"SERVICIO CRÍTICO – INTERVENCIÓN INMEDIATA")</formula>
    </cfRule>
  </conditionalFormatting>
  <dataValidations count="1">
    <dataValidation type="list" allowBlank="1" sqref="B17:C38 B42:C51 B55:C61 B65:C77 B81:C87 B91:C100 B104:C109 B113:C122 B126:C131 B135:C139 B143:C152 B156:C160 B164:C168" xr:uid="{00000000-0002-0000-0000-000000000000}">
      <formula1>"X"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showGridLines="0" zoomScaleNormal="100" workbookViewId="0"/>
  </sheetViews>
  <sheetFormatPr baseColWidth="10" defaultColWidth="8.6640625" defaultRowHeight="15" x14ac:dyDescent="0.2"/>
  <cols>
    <col min="1" max="1" width="42" customWidth="1"/>
    <col min="2" max="3" width="10" customWidth="1"/>
    <col min="4" max="4" width="14" customWidth="1"/>
  </cols>
  <sheetData>
    <row r="1" spans="1:4" ht="19.5" customHeight="1" x14ac:dyDescent="0.2">
      <c r="A1" s="50" t="s">
        <v>143</v>
      </c>
      <c r="B1" s="50"/>
      <c r="C1" s="50"/>
      <c r="D1" s="50"/>
    </row>
    <row r="2" spans="1:4" x14ac:dyDescent="0.2">
      <c r="A2" s="1" t="s">
        <v>9</v>
      </c>
      <c r="B2" s="51" t="s">
        <v>144</v>
      </c>
      <c r="C2" s="51"/>
      <c r="D2" s="2" t="s">
        <v>145</v>
      </c>
    </row>
    <row r="3" spans="1:4" x14ac:dyDescent="0.2">
      <c r="A3" s="9" t="s">
        <v>146</v>
      </c>
      <c r="B3" s="52" t="s">
        <v>147</v>
      </c>
      <c r="C3" s="52"/>
      <c r="D3" s="10" t="s">
        <v>148</v>
      </c>
    </row>
    <row r="4" spans="1:4" x14ac:dyDescent="0.2">
      <c r="A4" s="11" t="s">
        <v>149</v>
      </c>
      <c r="B4" s="53" t="s">
        <v>150</v>
      </c>
      <c r="C4" s="53"/>
      <c r="D4" s="12" t="s">
        <v>151</v>
      </c>
    </row>
    <row r="5" spans="1:4" x14ac:dyDescent="0.2">
      <c r="A5" s="13" t="s">
        <v>152</v>
      </c>
      <c r="B5" s="54" t="s">
        <v>153</v>
      </c>
      <c r="C5" s="54"/>
      <c r="D5" s="14" t="s">
        <v>154</v>
      </c>
    </row>
    <row r="6" spans="1:4" x14ac:dyDescent="0.2">
      <c r="A6" s="15" t="s">
        <v>155</v>
      </c>
      <c r="B6" s="48" t="s">
        <v>156</v>
      </c>
      <c r="C6" s="48"/>
      <c r="D6" s="16" t="s">
        <v>157</v>
      </c>
    </row>
    <row r="7" spans="1:4" x14ac:dyDescent="0.2">
      <c r="A7" s="17" t="s">
        <v>158</v>
      </c>
      <c r="B7" s="49" t="s">
        <v>159</v>
      </c>
      <c r="C7" s="49"/>
      <c r="D7" s="18" t="s">
        <v>160</v>
      </c>
    </row>
    <row r="9" spans="1:4" ht="19.5" customHeight="1" x14ac:dyDescent="0.2">
      <c r="A9" s="50" t="s">
        <v>161</v>
      </c>
      <c r="B9" s="50"/>
      <c r="C9" s="50"/>
      <c r="D9" s="50"/>
    </row>
    <row r="10" spans="1:4" x14ac:dyDescent="0.2">
      <c r="A10" s="1" t="s">
        <v>162</v>
      </c>
      <c r="B10" s="2" t="s">
        <v>15</v>
      </c>
      <c r="C10" s="2" t="s">
        <v>16</v>
      </c>
      <c r="D10" s="2" t="s">
        <v>163</v>
      </c>
    </row>
    <row r="11" spans="1:4" x14ac:dyDescent="0.2">
      <c r="A11" s="19" t="s">
        <v>164</v>
      </c>
      <c r="B11" s="20">
        <f>COUNTIF('Checklist Hospitalidad'!B17:B38,"X")</f>
        <v>0</v>
      </c>
      <c r="C11" s="20">
        <f>COUNTIF('Checklist Hospitalidad'!C17:C38,"X")</f>
        <v>0</v>
      </c>
      <c r="D11" s="21" t="str">
        <f t="shared" ref="D11:D23" si="0">IFERROR(B11/(B11+C11),"-")</f>
        <v>-</v>
      </c>
    </row>
    <row r="12" spans="1:4" x14ac:dyDescent="0.2">
      <c r="A12" s="22" t="s">
        <v>165</v>
      </c>
      <c r="B12" s="23">
        <f>COUNTIF('Checklist Hospitalidad'!B42:B51,"X")</f>
        <v>0</v>
      </c>
      <c r="C12" s="23">
        <f>COUNTIF('Checklist Hospitalidad'!C42:C51,"X")</f>
        <v>0</v>
      </c>
      <c r="D12" s="24" t="str">
        <f t="shared" si="0"/>
        <v>-</v>
      </c>
    </row>
    <row r="13" spans="1:4" x14ac:dyDescent="0.2">
      <c r="A13" s="19" t="s">
        <v>166</v>
      </c>
      <c r="B13" s="20">
        <f>COUNTIF('Checklist Hospitalidad'!B55:B61,"X")</f>
        <v>0</v>
      </c>
      <c r="C13" s="20">
        <f>COUNTIF('Checklist Hospitalidad'!C55:C61,"X")</f>
        <v>0</v>
      </c>
      <c r="D13" s="21" t="str">
        <f t="shared" si="0"/>
        <v>-</v>
      </c>
    </row>
    <row r="14" spans="1:4" x14ac:dyDescent="0.2">
      <c r="A14" s="22" t="s">
        <v>167</v>
      </c>
      <c r="B14" s="23">
        <f>COUNTIF('Checklist Hospitalidad'!B65:B77,"X")</f>
        <v>0</v>
      </c>
      <c r="C14" s="23">
        <f>COUNTIF('Checklist Hospitalidad'!C65:C77,"X")</f>
        <v>0</v>
      </c>
      <c r="D14" s="24" t="str">
        <f t="shared" si="0"/>
        <v>-</v>
      </c>
    </row>
    <row r="15" spans="1:4" x14ac:dyDescent="0.2">
      <c r="A15" s="19" t="s">
        <v>168</v>
      </c>
      <c r="B15" s="20">
        <f>COUNTIF('Checklist Hospitalidad'!B81:B87,"X")</f>
        <v>0</v>
      </c>
      <c r="C15" s="20">
        <f>COUNTIF('Checklist Hospitalidad'!C81:C87,"X")</f>
        <v>0</v>
      </c>
      <c r="D15" s="21" t="str">
        <f t="shared" si="0"/>
        <v>-</v>
      </c>
    </row>
    <row r="16" spans="1:4" x14ac:dyDescent="0.2">
      <c r="A16" s="22" t="s">
        <v>169</v>
      </c>
      <c r="B16" s="23">
        <f>COUNTIF('Checklist Hospitalidad'!B91:B100,"X")</f>
        <v>0</v>
      </c>
      <c r="C16" s="23">
        <f>COUNTIF('Checklist Hospitalidad'!C91:C100,"X")</f>
        <v>0</v>
      </c>
      <c r="D16" s="24" t="str">
        <f t="shared" si="0"/>
        <v>-</v>
      </c>
    </row>
    <row r="17" spans="1:4" x14ac:dyDescent="0.2">
      <c r="A17" s="19" t="s">
        <v>170</v>
      </c>
      <c r="B17" s="20">
        <f>COUNTIF('Checklist Hospitalidad'!B104:B109,"X")</f>
        <v>0</v>
      </c>
      <c r="C17" s="20">
        <f>COUNTIF('Checklist Hospitalidad'!C104:C109,"X")</f>
        <v>0</v>
      </c>
      <c r="D17" s="21" t="str">
        <f t="shared" si="0"/>
        <v>-</v>
      </c>
    </row>
    <row r="18" spans="1:4" ht="26" x14ac:dyDescent="0.2">
      <c r="A18" s="22" t="s">
        <v>171</v>
      </c>
      <c r="B18" s="23">
        <f>COUNTIF('Checklist Hospitalidad'!B113:B122,"X")</f>
        <v>0</v>
      </c>
      <c r="C18" s="23">
        <f>COUNTIF('Checklist Hospitalidad'!C113:C122,"X")</f>
        <v>0</v>
      </c>
      <c r="D18" s="24" t="str">
        <f t="shared" si="0"/>
        <v>-</v>
      </c>
    </row>
    <row r="19" spans="1:4" x14ac:dyDescent="0.2">
      <c r="A19" s="19" t="s">
        <v>172</v>
      </c>
      <c r="B19" s="20">
        <f>COUNTIF('Checklist Hospitalidad'!B126:B131,"X")</f>
        <v>0</v>
      </c>
      <c r="C19" s="20">
        <f>COUNTIF('Checklist Hospitalidad'!C126:C131,"X")</f>
        <v>0</v>
      </c>
      <c r="D19" s="21" t="str">
        <f t="shared" si="0"/>
        <v>-</v>
      </c>
    </row>
    <row r="20" spans="1:4" x14ac:dyDescent="0.2">
      <c r="A20" s="22" t="s">
        <v>173</v>
      </c>
      <c r="B20" s="23">
        <f>COUNTIF('Checklist Hospitalidad'!B135:B139,"X")</f>
        <v>0</v>
      </c>
      <c r="C20" s="23">
        <f>COUNTIF('Checklist Hospitalidad'!C135:C139,"X")</f>
        <v>0</v>
      </c>
      <c r="D20" s="24" t="str">
        <f t="shared" si="0"/>
        <v>-</v>
      </c>
    </row>
    <row r="21" spans="1:4" x14ac:dyDescent="0.2">
      <c r="A21" s="19" t="s">
        <v>174</v>
      </c>
      <c r="B21" s="20">
        <f>COUNTIF('Checklist Hospitalidad'!B143:B152,"X")</f>
        <v>0</v>
      </c>
      <c r="C21" s="20">
        <f>COUNTIF('Checklist Hospitalidad'!C143:C152,"X")</f>
        <v>0</v>
      </c>
      <c r="D21" s="21" t="str">
        <f t="shared" si="0"/>
        <v>-</v>
      </c>
    </row>
    <row r="22" spans="1:4" x14ac:dyDescent="0.2">
      <c r="A22" s="22" t="s">
        <v>175</v>
      </c>
      <c r="B22" s="23">
        <f>COUNTIF('Checklist Hospitalidad'!B156:B160,"X")</f>
        <v>0</v>
      </c>
      <c r="C22" s="23">
        <f>COUNTIF('Checklist Hospitalidad'!C156:C160,"X")</f>
        <v>0</v>
      </c>
      <c r="D22" s="24" t="str">
        <f t="shared" si="0"/>
        <v>-</v>
      </c>
    </row>
    <row r="23" spans="1:4" x14ac:dyDescent="0.2">
      <c r="A23" s="19" t="s">
        <v>176</v>
      </c>
      <c r="B23" s="20">
        <f>COUNTIF('Checklist Hospitalidad'!B164:B168,"X")</f>
        <v>0</v>
      </c>
      <c r="C23" s="20">
        <f>COUNTIF('Checklist Hospitalidad'!C164:C168,"X")</f>
        <v>0</v>
      </c>
      <c r="D23" s="21" t="str">
        <f t="shared" si="0"/>
        <v>-</v>
      </c>
    </row>
  </sheetData>
  <mergeCells count="8">
    <mergeCell ref="B6:C6"/>
    <mergeCell ref="B7:C7"/>
    <mergeCell ref="A9:D9"/>
    <mergeCell ref="A1:D1"/>
    <mergeCell ref="B2:C2"/>
    <mergeCell ref="B3:C3"/>
    <mergeCell ref="B4:C4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 Hospitalidad</vt:lpstr>
      <vt:lpstr>Bandas y 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Giménez</cp:lastModifiedBy>
  <cp:revision>0</cp:revision>
  <dcterms:created xsi:type="dcterms:W3CDTF">2026-06-05T18:24:11Z</dcterms:created>
  <dcterms:modified xsi:type="dcterms:W3CDTF">2026-07-06T15:52:45Z</dcterms:modified>
  <dc:language>en-US</dc:language>
</cp:coreProperties>
</file>